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istrator\My Drive\UNI\2025\2025-2Sem\LDS - Lab Dev Soft\Dev\main\stock-manager\tests\TestTrack\"/>
    </mc:Choice>
  </mc:AlternateContent>
  <xr:revisionPtr revIDLastSave="0" documentId="13_ncr:1_{B0BB800B-7E77-4A97-86AF-BB563B2791E5}" xr6:coauthVersionLast="47" xr6:coauthVersionMax="47" xr10:uidLastSave="{00000000-0000-0000-0000-000000000000}"/>
  <bookViews>
    <workbookView xWindow="-108" yWindow="-108" windowWidth="23256" windowHeight="13896" tabRatio="689" firstSheet="4" activeTab="6" xr2:uid="{255F9818-EC5A-46FF-9D2F-15463B870A74}"/>
  </bookViews>
  <sheets>
    <sheet name="Resumo" sheetId="5" r:id="rId1"/>
    <sheet name="Check_T1T2" sheetId="1" r:id="rId2"/>
    <sheet name="CheckT3_20260419" sheetId="2" r:id="rId3"/>
    <sheet name="CheckT3_20260426" sheetId="4" r:id="rId4"/>
    <sheet name="CheckT4_20260428" sheetId="8" r:id="rId5"/>
    <sheet name="Tests T4" sheetId="3" r:id="rId6"/>
    <sheet name="Plano de Testes (Minuta)" sheetId="6" r:id="rId7"/>
    <sheet name="Plano de Testes (Controlo)" sheetId="7" r:id="rId8"/>
  </sheets>
  <definedNames>
    <definedName name="_xlnm._FilterDatabase" localSheetId="2" hidden="1">CheckT3_20260419!$A$1:$K$36</definedName>
    <definedName name="_xlnm._FilterDatabase" localSheetId="3" hidden="1">CheckT3_20260426!$B$1:$K$11</definedName>
    <definedName name="_xlnm._FilterDatabase" localSheetId="4" hidden="1">CheckT4_20260428!$B$1:$K$11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7" l="1"/>
  <c r="C3" i="7"/>
  <c r="D3" i="7"/>
  <c r="B4" i="7"/>
  <c r="C4" i="7"/>
  <c r="D4" i="7"/>
  <c r="B5" i="7"/>
  <c r="C5" i="7"/>
  <c r="D5" i="7"/>
  <c r="B6" i="7"/>
  <c r="C6" i="7"/>
  <c r="D6" i="7"/>
  <c r="B7" i="7"/>
  <c r="C7" i="7"/>
  <c r="D7" i="7"/>
  <c r="B8" i="7"/>
  <c r="C8" i="7"/>
  <c r="D8" i="7"/>
  <c r="B9" i="7"/>
  <c r="C9" i="7"/>
  <c r="D9" i="7"/>
  <c r="B10" i="7"/>
  <c r="C10" i="7"/>
  <c r="D10" i="7"/>
  <c r="B11" i="7"/>
  <c r="C11" i="7"/>
  <c r="D11" i="7"/>
  <c r="B12" i="7"/>
  <c r="C12" i="7"/>
  <c r="D12" i="7"/>
  <c r="B13" i="7"/>
  <c r="C13" i="7"/>
  <c r="D13" i="7"/>
  <c r="B14" i="7"/>
  <c r="C14" i="7"/>
  <c r="D14" i="7"/>
  <c r="B15" i="7"/>
  <c r="C15" i="7"/>
  <c r="D15" i="7"/>
  <c r="B16" i="7"/>
  <c r="C16" i="7"/>
  <c r="D16" i="7"/>
  <c r="B17" i="7"/>
  <c r="C17" i="7"/>
  <c r="D17" i="7"/>
  <c r="B18" i="7"/>
  <c r="C18" i="7"/>
  <c r="D18" i="7"/>
  <c r="B19" i="7"/>
  <c r="C19" i="7"/>
  <c r="D19" i="7"/>
  <c r="B20" i="7"/>
  <c r="C20" i="7"/>
  <c r="D20" i="7"/>
  <c r="B21" i="7"/>
  <c r="C21" i="7"/>
  <c r="D21" i="7"/>
  <c r="B22" i="7"/>
  <c r="C22" i="7"/>
  <c r="D22" i="7"/>
  <c r="C2" i="7"/>
  <c r="D2" i="7"/>
  <c r="B2" i="7"/>
  <c r="L3" i="4"/>
  <c r="L4" i="4"/>
  <c r="L5" i="4"/>
  <c r="L6" i="4"/>
  <c r="A6" i="4" s="1"/>
  <c r="L7" i="4"/>
  <c r="L8" i="4"/>
  <c r="A8" i="4" s="1"/>
  <c r="L9" i="4"/>
  <c r="A9" i="4" s="1"/>
  <c r="L10" i="4"/>
  <c r="L11" i="4"/>
  <c r="L2" i="4"/>
  <c r="A2" i="4" s="1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2" i="2"/>
  <c r="A3" i="4"/>
  <c r="A4" i="4"/>
  <c r="A5" i="4"/>
  <c r="A7" i="4"/>
  <c r="A10" i="4"/>
</calcChain>
</file>

<file path=xl/sharedStrings.xml><?xml version="1.0" encoding="utf-8"?>
<sst xmlns="http://schemas.openxmlformats.org/spreadsheetml/2006/main" count="1329" uniqueCount="456">
  <si>
    <t>Foi possível verificar bem a versão final, mas não reconstruir todo o percurso intermédio entre versões com detalhe total.</t>
  </si>
  <si>
    <t>Parcialmente verificado</t>
  </si>
  <si>
    <t>Evolução completa entre versões</t>
  </si>
  <si>
    <t>Conforme: relatório, diagrama de comunicação e diagrama de sequência estão alinhados nos pontos essenciais.</t>
  </si>
  <si>
    <t>Verificado</t>
  </si>
  <si>
    <t>Coerência entre artefactos</t>
  </si>
  <si>
    <t xml:space="preserve">Conforme: responsabilidades de View, Controller e Model estão claras; persistência JSON integrada no Model. </t>
  </si>
  <si>
    <t>Estrutura arquitectónica</t>
  </si>
  <si>
    <t xml:space="preserve">Conforme: cobre arranque, consulta, adicionar/actualizar, remover, caso alternativo de stock insuficiente, lista de reposição e encerramento. </t>
  </si>
  <si>
    <t>Diagrama de sequência</t>
  </si>
  <si>
    <t>Conforme: consultar stock, introduzir dados, remover quantidade, gerar lista e sair; outputs de menu, stock, confirmação, sucesso, erro, lista e fecho.</t>
  </si>
  <si>
    <t>Inputs e outputs principais</t>
  </si>
  <si>
    <t>Conforme: arranque no Controller, input na View, coordenação pelo Controller, processamento no Model, retorno à View, sem fluxo directo Model -&gt; Controller.</t>
  </si>
  <si>
    <t>Variante MVC adoptada</t>
  </si>
  <si>
    <t>Resultado</t>
  </si>
  <si>
    <t>Estado</t>
  </si>
  <si>
    <t>Aspecto</t>
  </si>
  <si>
    <t>T1 e T2 - 2 de Março a 5 de Abril</t>
  </si>
  <si>
    <t xml:space="preserve"> Fase da arquitectura inicial</t>
  </si>
  <si>
    <t>Resultados das verificações</t>
  </si>
  <si>
    <t>Critério</t>
  </si>
  <si>
    <t>Problema detectado</t>
  </si>
  <si>
    <t>Correcção sugerida</t>
  </si>
  <si>
    <t>Prioridade</t>
  </si>
  <si>
    <t>Data</t>
  </si>
  <si>
    <t>Área</t>
  </si>
  <si>
    <t>Aspecto verificado</t>
  </si>
  <si>
    <t>Ficheiro/Local</t>
  </si>
  <si>
    <t>Evidência</t>
  </si>
  <si>
    <t>MVC</t>
  </si>
  <si>
    <t>Arranque da aplicação</t>
  </si>
  <si>
    <t>Program.cs</t>
  </si>
  <si>
    <t>Program apenas arranca o Controller</t>
  </si>
  <si>
    <t>Conforme</t>
  </si>
  <si>
    <t>Baixa</t>
  </si>
  <si>
    <t>Controller.cs</t>
  </si>
  <si>
    <t>View não conhece directamente o Model</t>
  </si>
  <si>
    <t>View.cs</t>
  </si>
  <si>
    <t>Parcial</t>
  </si>
  <si>
    <t>Média</t>
  </si>
  <si>
    <t>Model não conhece View nem Controller</t>
  </si>
  <si>
    <t>Model.cs</t>
  </si>
  <si>
    <t>Eventos/Delegados</t>
  </si>
  <si>
    <t>Input da View chega ao Controller por eventos</t>
  </si>
  <si>
    <t>view.OpcaoSelecionada += ProcessarOpcao;, view.DadosProdutoIntroduzidos += RegistarOuAtualizarProduto;, view.RemocaoSolicitada += RemoverQuantidade;</t>
  </si>
  <si>
    <t>model.OperacaoConcluida += view.MostrarConfirmacao;, model.ErroStockInsuficiente += view.MostrarErro;</t>
  </si>
  <si>
    <t>Acoplamento</t>
  </si>
  <si>
    <t>Controller.cs / arquitectura</t>
  </si>
  <si>
    <t>view.PrecisoDeProdutos += model.SolicitarListaProdutos; e view.PrecisoDeListaReposicao += model.SolicitarListaReposicao;</t>
  </si>
  <si>
    <t>Alta</t>
  </si>
  <si>
    <t>Documentação</t>
  </si>
  <si>
    <t>Não conforme</t>
  </si>
  <si>
    <t>Implementação</t>
  </si>
  <si>
    <t>Controller controller = new Controller(); controller.IniciarPrograma();</t>
  </si>
  <si>
    <t>Testes</t>
  </si>
  <si>
    <t>Plano de testes unitários</t>
  </si>
  <si>
    <t>Registo do Verificador</t>
  </si>
  <si>
    <t>Em preparação</t>
  </si>
  <si>
    <t>Não executado nesta fase</t>
  </si>
  <si>
    <t>Plano de testes de integração</t>
  </si>
  <si>
    <t>Testes de integração executados</t>
  </si>
  <si>
    <t>Testabilidade da View</t>
  </si>
  <si>
    <t>Arranque no Controller</t>
  </si>
  <si>
    <t>O ciclo da aplicação deve iniciar no Controller e passar para a View</t>
  </si>
  <si>
    <t>IniciarPrograma() chama view.MostrarMenu();</t>
  </si>
  <si>
    <t>Controller como ponto central de ligação</t>
  </si>
  <si>
    <t>O Controller deve instanciar e ligar View e Model</t>
  </si>
  <si>
    <t>Instancia view e model, carrega dados e faz todas as subscrições no construtor</t>
  </si>
  <si>
    <t>Input entra na View</t>
  </si>
  <si>
    <t>A variante Curry &amp; Grace exige input na View</t>
  </si>
  <si>
    <t>MostrarMenu, PedirDadosProduto e PedirRemocaoQuantidade recolhem o input do utilizador</t>
  </si>
  <si>
    <t>A View não deve instanciar nem referenciar directamente o Model</t>
  </si>
  <si>
    <t>View.cs não instancia nem usa a classe Model; apenas expõe eventos/delegados</t>
  </si>
  <si>
    <t>O Model não deve depender de View nem Controller</t>
  </si>
  <si>
    <t>Model.cs não referencia View nem Controller</t>
  </si>
  <si>
    <t>Saída apresentada pela View</t>
  </si>
  <si>
    <t>Os resultados devem ser apresentados na View</t>
  </si>
  <si>
    <t>MostrarStock, MostrarListaReposicao, MostrarConfirmacao, MostrarErro, MostrarMensagemFinal</t>
  </si>
  <si>
    <t>Papel do Controller limitado à coordenação</t>
  </si>
  <si>
    <t>O Controller não deve conter lógica de negócio do domínio</t>
  </si>
  <si>
    <t>Os inputs do utilizador devem ser recebidos pelo Controller via eventos</t>
  </si>
  <si>
    <t>Pedidos de consulta e reposição estão ligados por delegados</t>
  </si>
  <si>
    <t>Controller.cs / View.cs</t>
  </si>
  <si>
    <t>Os pedidos de leitura devem estar formalmente ligados no arranque</t>
  </si>
  <si>
    <t>Notificações do Model chegam à View por eventos</t>
  </si>
  <si>
    <t>As respostas do Model devem chegar à View por eventos</t>
  </si>
  <si>
    <t>Invocação segura de eventos na View</t>
  </si>
  <si>
    <t>A View deve invocar eventos com verificação nula</t>
  </si>
  <si>
    <t>Uso de ?.Invoke(...) nos eventos de input</t>
  </si>
  <si>
    <t>Ausência de acoplamento estrutural View -&gt; Model</t>
  </si>
  <si>
    <t>A View não deve criar nem conhecer o Model</t>
  </si>
  <si>
    <t>A View apenas expõe contratos de comunicação; não conhece a implementação do Model</t>
  </si>
  <si>
    <t>Ausência de acoplamento estrutural Model -&gt; View/Controller</t>
  </si>
  <si>
    <t>O Model deve estar isolado dos outros componentes</t>
  </si>
  <si>
    <t>O Model apenas expõe eventos e métodos próprios</t>
  </si>
  <si>
    <t>Mediação explícita do Controller nos fluxos de leitura</t>
  </si>
  <si>
    <t>Os fluxos principais devem passar explicitamente pelo Controller</t>
  </si>
  <si>
    <t>Em consulta e reposição, a View acciona delegados ligados ao Model</t>
  </si>
  <si>
    <t>O fluxo real fica menos explícito do que no diagrama V5</t>
  </si>
  <si>
    <t>Ou ajustar a documentação, ou fazer também estes pedidos passar por handlers próprios no Controller</t>
  </si>
  <si>
    <t>Coerência com a variante Curry &amp; Grace adoptada</t>
  </si>
  <si>
    <t>Código + decisão da equipa</t>
  </si>
  <si>
    <t>O código deve manter input na View e coordenação geral no Controller</t>
  </si>
  <si>
    <t>O padrão geral do código respeita a decisão arquitectónica assumida</t>
  </si>
  <si>
    <t>Coerência entre código e diagrama de sequência V5</t>
  </si>
  <si>
    <t>Controller.cs / View.cs / diagrama V5</t>
  </si>
  <si>
    <t>O fluxo implementado deve coincidir com o fluxo documentado</t>
  </si>
  <si>
    <t>No diagrama, consulta/reposição seguem View -&gt; Controller -&gt; Model; no código, a View acciona delegados ligados ao Model</t>
  </si>
  <si>
    <t>Desvio real entre implementação e documentação</t>
  </si>
  <si>
    <t>Harmonizar diagrama/documentação com o código, ou refactorizar o código</t>
  </si>
  <si>
    <t>Estrutura base do Controller implementada</t>
  </si>
  <si>
    <t>O Controller deve estar funcional ao nível do arranque, coordenação e encerramento</t>
  </si>
  <si>
    <t>Construtor, handlers, IniciarPrograma() e Encerrar() estão implementados</t>
  </si>
  <si>
    <t>Estrutura base da View implementada</t>
  </si>
  <si>
    <t>A View deve suportar menu, recolha de input e apresentação de output</t>
  </si>
  <si>
    <t>Métodos principais da interface de consola estão implementados</t>
  </si>
  <si>
    <t>Leitura válida de inteiros na View</t>
  </si>
  <si>
    <t>A View deve validar input numérico básico</t>
  </si>
  <si>
    <t>LerInteiro() implementado com repetição até valor válido</t>
  </si>
  <si>
    <t>Classe de dados Produto definida</t>
  </si>
  <si>
    <t>Produto.cs</t>
  </si>
  <si>
    <t>Deve existir uma estrutura de dados para o domínio</t>
  </si>
  <si>
    <t>Classe com Nome, Quantidade, QuantidadeMinima e Unidade</t>
  </si>
  <si>
    <t>Métodos de consulta do Model implementados</t>
  </si>
  <si>
    <t>SolicitarListaProdutos e SolicitarListaReposicao devem estar funcionais</t>
  </si>
  <si>
    <t>Ambos os métodos estão com TODO</t>
  </si>
  <si>
    <t>Fluxos de leitura ainda não implementados</t>
  </si>
  <si>
    <t>Implementar cópia segura da lista e filtragem de reposição</t>
  </si>
  <si>
    <t>Métodos de lógica de negócio do Model implementados</t>
  </si>
  <si>
    <t>RegistarOuAtualizarProduto e RemoverQuantidade devem estar funcionais</t>
  </si>
  <si>
    <t>Fluxos principais da aplicação ainda não estão implementados</t>
  </si>
  <si>
    <t>Implementar lógica de actualização, remoção e disparo de notificações</t>
  </si>
  <si>
    <t>Persistência JSON implementada</t>
  </si>
  <si>
    <t>CarregarDados e GuardarDados devem estar funcionais</t>
  </si>
  <si>
    <t>Ambos os métodos estão com TODO; já são chamados pelo Controller</t>
  </si>
  <si>
    <t>Persistência prevista mas ainda não implementada</t>
  </si>
  <si>
    <t>Implementar leitura/escrita JSON</t>
  </si>
  <si>
    <t>Dependência da API JSON declarada no projecto</t>
  </si>
  <si>
    <t>GestorStockDomestico.csproj</t>
  </si>
  <si>
    <t>O projecto deve declarar a dependência necessária para Json.NET, se a persistência a usar for mesmo essa</t>
  </si>
  <si>
    <t>O .csproj não tem qualquer referência a Newtonsoft.Json</t>
  </si>
  <si>
    <t>Falta preparação do projecto para a persistência prevista</t>
  </si>
  <si>
    <t>Adicionar a dependência correcta da biblioteca a utilizar</t>
  </si>
  <si>
    <t>Pasta de testes preparada</t>
  </si>
  <si>
    <t>tests/README.md</t>
  </si>
  <si>
    <t>A área de testes deve ter pelo menos estrutura mínima identificada</t>
  </si>
  <si>
    <t>Existe a pasta tests e um README a dizer que ali ficarão testes, casos de teste e resultados</t>
  </si>
  <si>
    <t>Estrutura apenas declarativa; ainda sem artefactos reais</t>
  </si>
  <si>
    <t>Criar projecto de testes e registo efectivo do verificador</t>
  </si>
  <si>
    <t>Devem estar definidos casos de teste para Controller e Model</t>
  </si>
  <si>
    <t>Já é possível identificar operações críticas do Controller e do Model</t>
  </si>
  <si>
    <t>A matriz ainda não está formalizada</t>
  </si>
  <si>
    <t>Fechar a matriz de testes unitários no Excel/ficheiro de apoio</t>
  </si>
  <si>
    <t>Testes unitários do Controller executados</t>
  </si>
  <si>
    <t>Deve existir validação do encaminhamento e subscrição dos fluxos</t>
  </si>
  <si>
    <t>Executar após fecho mínimo dos fluxos e definição dos cenários</t>
  </si>
  <si>
    <t>Testes unitários do Model executados</t>
  </si>
  <si>
    <t>Deve existir validação da lógica de negócio e persistência</t>
  </si>
  <si>
    <t>Os métodos críticos do Model continuam por implementar</t>
  </si>
  <si>
    <t>O estado actual do Model impede testes unitários úteis</t>
  </si>
  <si>
    <t>Executar após implementação mínima funcional</t>
  </si>
  <si>
    <t>A View deve manter-se focada em input/output para não dificultar validação posterior</t>
  </si>
  <si>
    <t>A View está bem separada do domínio, mas depende fortemente da consola</t>
  </si>
  <si>
    <t>Forte componente interactiva dificulta testes automáticos directos</t>
  </si>
  <si>
    <t>Evitar acrescentar lógica à View e privilegiar validação indirecta/integrada</t>
  </si>
  <si>
    <t>Devem estar definidos cenários View -&gt; Controller -&gt; Model -&gt; View</t>
  </si>
  <si>
    <t>Os cenários já podem ser identificados a partir do protótipo e do diagrama</t>
  </si>
  <si>
    <t>Ainda falta formalizar e calendarizar a execução</t>
  </si>
  <si>
    <t>Definir cenários de consulta, registo, remoção, erro, reposição e saída</t>
  </si>
  <si>
    <t>Os fluxos principais devem ser validados ponta-a-ponta</t>
  </si>
  <si>
    <t>A integração estrutural existe, mas a implementação está incompleta e há desvio com a documentação</t>
  </si>
  <si>
    <t>Ainda não há base estável para validação integrada formal</t>
  </si>
  <si>
    <t>Executar após fecho funcional mínimo e harmonização código-documentação</t>
  </si>
  <si>
    <t>Clarificar documentalmente este fluxo ou passar também estes pedidos por handlers explícitos no Controller</t>
  </si>
  <si>
    <t>Ciclo do menu sem recursão acumulada</t>
  </si>
  <si>
    <t>O fluxo principal não deve acumular chamadas recursivas ao menu</t>
  </si>
  <si>
    <t>O ciclo actual é recursivo e pode acumular chamadas em profundidade</t>
  </si>
  <si>
    <t>Reestruturar o ciclo principal com controlo iterativo em vez de recursivo</t>
  </si>
  <si>
    <t>Menu não duplicado em casos de erro de validação</t>
  </si>
  <si>
    <t>Em caso de erro de validação, o menu não deve ser reapresentado duas vezes</t>
  </si>
  <si>
    <t>Em RegistarOuAtualizarProduto() e RemoverQuantidade(), quando os dados são inválidos, é chamado view.MostrarMenu(); depois ProcessarOpcao() volta a chamar view.MostrarMenu()</t>
  </si>
  <si>
    <t>Reapresentação duplicada do menu em cenários de erro</t>
  </si>
  <si>
    <t>Centralizar a decisão de regressar ao menu num único ponto do fluxo</t>
  </si>
  <si>
    <t>Próprio projecto</t>
  </si>
  <si>
    <t>Ainda não existem métodos/casos/resultados de teste integrados no código actual</t>
  </si>
  <si>
    <t>O trabalho de testes ainda não arrancou formalmente</t>
  </si>
  <si>
    <t>Faz encaminhamento, validação básica e coordenação; não implementa regras de stock nem persistência</t>
  </si>
  <si>
    <t>Este encadeamento contribui para o desvio face ao diagrama V5 nos fluxos de consulta e reposição</t>
  </si>
  <si>
    <t>Encerrar() usa Environment.Exit(0), o que dificulta a execução de testes automáticos e de integração no próprio projecto</t>
  </si>
  <si>
    <t>Substituir por mecanismo de fecho controlado quando se avançar para a fase de testes</t>
  </si>
  <si>
    <t>MostrarMenu() acciona OpcaoSelecionada; ProcessarOpcao() termina com nova chamada a view.MostrarMenu()</t>
  </si>
  <si>
    <t>Nos fluxos de leitura, a mediação do Controller existe apenas até à chamada da View; o pedido ao Model não passa explicitamente por um handler do Controller</t>
  </si>
  <si>
    <t>Ou ajustar a documentação para reflectir este fluxo real, ou criar handlers explícitos no Controller para consulta e reposição</t>
  </si>
  <si>
    <t>No código, consulta e reposição seguem Controller -&gt; View -&gt; Model por delegados; no diagrama V5, esses fluxos aparecem como View -&gt; Controller -&gt; Model</t>
  </si>
  <si>
    <t>Há desvio entre a implementação actual e a documentação submetida</t>
  </si>
  <si>
    <t>Harmonizar diagrama/documentação com o código, ou refactorizar o código para mediação explícita do Controller até ao Model</t>
  </si>
  <si>
    <t>SolicitarListaProdutos copia _listaProdutos para uma nova lista; SolicitarListaReposicao filtra produtos com Quantidade &lt; QuantidadeMinima</t>
  </si>
  <si>
    <t>Comentários TODO ficaram desactualizados face à implementação real</t>
  </si>
  <si>
    <t>RegistarOuAtualizarProduto adiciona/actualiza produto, chama GuardarDados() e dispara OperacaoConcluida; RemoverQuantidade valida stock, remove, guarda e notifica sucesso/erro</t>
  </si>
  <si>
    <t>CarregarDados() lê produtos.json e usa JsonConvert.DeserializeObject; GuardarDados() serializa com JsonConvert.SerializeObject e escreve em ficheiro</t>
  </si>
  <si>
    <t>Existe &lt;PackageReference Include="Newtonsoft.Json" Version="13.0.3" /&gt;</t>
  </si>
  <si>
    <t>Existe a pasta tests com README.md a identificar o espaço para testes, casos de teste, resultados e apoio ao verificador</t>
  </si>
  <si>
    <t>Ainda não há artefactos reais de testes dentro da pasta, apenas a estrutura mínima</t>
  </si>
  <si>
    <t>A View deve manter-se focada em input/output para não dificultar validação posterior.</t>
  </si>
  <si>
    <t>ID#</t>
  </si>
  <si>
    <t>Em ProcessarOpcao(), as opções "1" e "4" chamam view.MostrarStock() e view.MostrarListaReposicao(); depois é a View que acciona PrecisoDeProdutos e PrecisoDeListaReposicao, ligados ao Model</t>
  </si>
  <si>
    <t>View.MostrarMenu() passou a usar while (true) e ProcessarOpcao() já não volta a chamar view.MostrarMenu()</t>
  </si>
  <si>
    <t>Em RegistarOuAtualizarProduto() e RemoverQuantidade(), em caso de erro apenas é chamado view.MostrarErro(...) e o controlo regressa ao ciclo único do menu na View</t>
  </si>
  <si>
    <t>Actualizar ou remover os comentários TODO</t>
  </si>
  <si>
    <t>Avançar para criação dos ficheiros e registos de testes quando os testes começarem a ser executados</t>
  </si>
  <si>
    <t>A View está focada em leitura de input, apresentação de output e emissão de eventos; não contém lógica de negócio</t>
  </si>
  <si>
    <t>Plano de testes</t>
  </si>
  <si>
    <t>ID</t>
  </si>
  <si>
    <t>Descrição</t>
  </si>
  <si>
    <t>Dados de Input</t>
  </si>
  <si>
    <t>Resultado esperado</t>
  </si>
  <si>
    <t>Tipo</t>
  </si>
  <si>
    <t>Introduzido por</t>
  </si>
  <si>
    <t>Introduzido em:</t>
  </si>
  <si>
    <t>Corrido em:</t>
  </si>
  <si>
    <t>Resultado Obtido</t>
  </si>
  <si>
    <t>Aspectos gerais</t>
  </si>
  <si>
    <t>Status</t>
  </si>
  <si>
    <t>Instancia view e model</t>
  </si>
  <si>
    <t>MostrarMenu</t>
  </si>
  <si>
    <t>MostrarStock</t>
  </si>
  <si>
    <t>Faz encaminhamento</t>
  </si>
  <si>
    <t>view.OpcaoSelecionada += ProcessarOpcao;</t>
  </si>
  <si>
    <t>model.OperacaoConcluida += view.MostrarConfirmacao;</t>
  </si>
  <si>
    <t>Em consulta e reposição</t>
  </si>
  <si>
    <t>No diagrama</t>
  </si>
  <si>
    <t>O Controller deve estar funcional ao nível do arranque</t>
  </si>
  <si>
    <t>Em caso de erro de validação</t>
  </si>
  <si>
    <t>A View deve suportar menu</t>
  </si>
  <si>
    <t>Classe com Nome</t>
  </si>
  <si>
    <t>Implementar lógica de actualização</t>
  </si>
  <si>
    <t>O projecto deve declarar a dependência necessária para Json.NET</t>
  </si>
  <si>
    <t>Existe a pasta tests e um README a dizer que ali ficarão testes</t>
  </si>
  <si>
    <t>A View está bem separada do domínio</t>
  </si>
  <si>
    <t>Definir cenários de consulta</t>
  </si>
  <si>
    <t>A integração estrutural existe</t>
  </si>
  <si>
    <t>Mapear os testes: plano de testes preenchido com base na minuta (Moodle)</t>
  </si>
  <si>
    <t>Registo do Verificador / minuta Moodle</t>
  </si>
  <si>
    <t>O plano de testes deve estar preenchido por tipo de teste</t>
  </si>
  <si>
    <t>Plano de testes unitários - View</t>
  </si>
  <si>
    <t>View.cs / plano de testes</t>
  </si>
  <si>
    <t>Devem estar definidos casos de teste unitário da View orientados a input/output</t>
  </si>
  <si>
    <t>Plano de testes unitários - Controller</t>
  </si>
  <si>
    <t>Controller.cs / plano de testes</t>
  </si>
  <si>
    <t>Devem estar definidos casos de teste unitário do Controller para encaminhamento</t>
  </si>
  <si>
    <t>Plano de testes unitários - Model</t>
  </si>
  <si>
    <t>Model.cs / plano de testes</t>
  </si>
  <si>
    <t>Devem estar definidos casos de teste unitário do Model para consulta</t>
  </si>
  <si>
    <t>Plano de testes de integração MVC</t>
  </si>
  <si>
    <t>Controller.cs / View.cs / Model.cs / plano de testes</t>
  </si>
  <si>
    <t>Devem estar definidos cenários integrados View -&gt; Controller -&gt; Model -&gt; View</t>
  </si>
  <si>
    <t>Há cenários principais identificados</t>
  </si>
  <si>
    <t>Excepções</t>
  </si>
  <si>
    <t>Plano de testes de excepções / robustez MVC</t>
  </si>
  <si>
    <t>Devem estar definidos cenários de erro coerentes com MVC e distribuídos pelos componentes</t>
  </si>
  <si>
    <t>Há cenários de erro já conhecidos (opção inválida</t>
  </si>
  <si>
    <t>Testes unitários da View executados</t>
  </si>
  <si>
    <t>Próprio projecto / View.cs</t>
  </si>
  <si>
    <t>Devem existir evidências de execução dos testes unitários da View</t>
  </si>
  <si>
    <t>Não existem ainda registos formais de execução isolada da View</t>
  </si>
  <si>
    <t>O trabalho formal de testes unitários da View ainda não arrancou</t>
  </si>
  <si>
    <t>Executar após fecho da matriz de testes e registar resultados no plano</t>
  </si>
  <si>
    <t>Próprio projecto / Controller.cs</t>
  </si>
  <si>
    <t>Devem existir evidências de execução dos testes unitários do Controller</t>
  </si>
  <si>
    <t>Não existem ainda registos formais de execução isolada do Controller</t>
  </si>
  <si>
    <t>O trabalho formal de testes unitários do Controller ainda não arrancou</t>
  </si>
  <si>
    <t>Executar e registar cenários de encaminhamento</t>
  </si>
  <si>
    <t>Próprio projecto / Model.cs</t>
  </si>
  <si>
    <t>Devem existir evidências de execução dos testes unitários do Model</t>
  </si>
  <si>
    <t>Não existem ainda registos formais de execução isolada do Model</t>
  </si>
  <si>
    <t>O trabalho formal de testes unitários do Model ainda não arrancou</t>
  </si>
  <si>
    <t>Executar e registar cenários de consulta</t>
  </si>
  <si>
    <t>Testes de integração MVC executados</t>
  </si>
  <si>
    <t>Devem existir evidências de execução dos fluxos principais ponta-a-ponta</t>
  </si>
  <si>
    <t>Existe validação manual preliminar registada pela equipa: opção inválida (7 e abc)</t>
  </si>
  <si>
    <t>Testes de excepções / robustez executados</t>
  </si>
  <si>
    <t>Devem existir evidências de execução de cenários de erro coerentes com MVC</t>
  </si>
  <si>
    <t>Existe validação manual preliminar de opção inválida</t>
  </si>
  <si>
    <t>Excepções implementadas respeitam o estilo MVC em todos os componentes</t>
  </si>
  <si>
    <t>Controller.cs / Model.cs / View.cs</t>
  </si>
  <si>
    <t>O tratamento de erros não deve ficar concentrado só num componente e deve respeitar as responsabilidades MVC</t>
  </si>
  <si>
    <t>Opção inválida e dados inválidos são tratados no Controller; stock insuficiente é tratado no Model e apresentado pela View</t>
  </si>
  <si>
    <t>Falta confirmação formal do tratamento coerente de erros técnicos de persistência e da sua apresentação ao utilizador</t>
  </si>
  <si>
    <t>Definir e registar política mínima para erros técnicos e confirmar a sua distribuição pelos componentes</t>
  </si>
  <si>
    <t>Verificação final: coerência entre diagramas</t>
  </si>
  <si>
    <t>Verificação de conformidade MVC + apoio à validação e testes de integração entre componentes</t>
  </si>
  <si>
    <t>Código + fluxos MVC + registo do Verificador</t>
  </si>
  <si>
    <t>O fluxo deve manter-se coerente com MVC durante a validação integrada entre componentes</t>
  </si>
  <si>
    <t>A base MVC está estável</t>
  </si>
  <si>
    <t>MVCArranque da aplicaçãoProgram.csProgram apenas arranca o Controller</t>
  </si>
  <si>
    <t>MVCArranque no ControllerController.csO ciclo da aplicação deve iniciar no Controller e passar para a View</t>
  </si>
  <si>
    <t>MVCController como ponto central de ligaçãoController.csO Controller deve instanciar e ligar View e Model</t>
  </si>
  <si>
    <t>MVCInput entra na ViewView.csA variante Curry &amp; Grace exige input na View</t>
  </si>
  <si>
    <t>MVCView não conhece directamente o ModelView.csA View não deve instanciar nem referenciar directamente o Model</t>
  </si>
  <si>
    <t>MVCModel não conhece View nem ControllerModel.csO Model não deve depender de View nem Controller</t>
  </si>
  <si>
    <t>MVCSaída apresentada pela ViewView.csOs resultados devem ser apresentados na View</t>
  </si>
  <si>
    <t>MVCPapel do Controller limitado à coordenaçãoController.csO Controller não deve conter lógica de negócio do domínio</t>
  </si>
  <si>
    <t>Eventos/DelegadosInput da View chega ao Controller por eventosController.csOs inputs do utilizador devem ser recebidos pelo Controller via eventos</t>
  </si>
  <si>
    <t>Eventos/DelegadosPedidos de consulta e reposição estão ligados por delegadosController.cs / View.csOs pedidos de leitura devem estar formalmente ligados no arranque</t>
  </si>
  <si>
    <t>Eventos/DelegadosNotificações do Model chegam à View por eventosController.csAs respostas do Model devem chegar à View por eventos</t>
  </si>
  <si>
    <t>Eventos/DelegadosInvocação segura de eventos na ViewView.csA View deve invocar eventos com verificação nula</t>
  </si>
  <si>
    <t>AcoplamentoAusência de acoplamento estrutural View -&gt; ModelView.csA View não deve criar nem conhecer o Model</t>
  </si>
  <si>
    <t>AcoplamentoAusência de acoplamento estrutural Model -&gt; View/ControllerModel.csO Model deve estar isolado dos outros componentes</t>
  </si>
  <si>
    <t>AcoplamentoMediação explícita do Controller nos fluxos de leituraController.cs / arquitecturaOs fluxos principais devem passar explicitamente pelo Controller</t>
  </si>
  <si>
    <t>DocumentaçãoCoerência com a variante Curry &amp; Grace adoptadaCódigo + decisão da equipaO código deve manter input na View e coordenação geral no Controller</t>
  </si>
  <si>
    <t>DocumentaçãoCoerência entre código e diagrama de sequência V5Controller.cs / View.cs / diagrama V5O fluxo implementado deve coincidir com o fluxo documentado</t>
  </si>
  <si>
    <t>ImplementaçãoEstrutura base do Controller implementadaController.csO Controller deve estar funcional ao nível do arranque, coordenação e encerramento</t>
  </si>
  <si>
    <t>ImplementaçãoCiclo do menu sem recursão acumuladaController.cs / View.csO fluxo principal não deve acumular chamadas recursivas ao menu</t>
  </si>
  <si>
    <t>ImplementaçãoMenu não duplicado em casos de erro de validaçãoController.csEm caso de erro de validação, o menu não deve ser reapresentado duas vezes</t>
  </si>
  <si>
    <t>ImplementaçãoEstrutura base da View implementadaView.csA View deve suportar menu, recolha de input e apresentação de output</t>
  </si>
  <si>
    <t>ImplementaçãoLeitura válida de inteiros na ViewView.csA View deve validar input numérico básico</t>
  </si>
  <si>
    <t>ImplementaçãoClasse de dados Produto definidaProduto.csDeve existir uma estrutura de dados para o domínio</t>
  </si>
  <si>
    <t>ImplementaçãoMétodos de consulta do Model implementadosModel.csSolicitarListaProdutos e SolicitarListaReposicao devem estar funcionais</t>
  </si>
  <si>
    <t>ImplementaçãoMétodos de lógica de negócio do Model implementadosModel.csRegistarOuAtualizarProduto e RemoverQuantidade devem estar funcionais</t>
  </si>
  <si>
    <t>ImplementaçãoPersistência JSON implementadaModel.csCarregarDados e GuardarDados devem estar funcionais</t>
  </si>
  <si>
    <t>ImplementaçãoDependência da API JSON declarada no projectoGestorStockDomestico.csprojO projecto deve declarar a dependência necessária para Json.NET, se a persistência a usar for mesmo essa</t>
  </si>
  <si>
    <t>ImplementaçãoPasta de testes preparadatests/README.mdA área de testes deve ter pelo menos estrutura mínima identificada</t>
  </si>
  <si>
    <t>TestesPlano de testes unitáriosRegisto do VerificadorDevem estar definidos casos de teste para Controller e Model</t>
  </si>
  <si>
    <t>TestesTestes unitários do Controller executadosPróprio projectoDeve existir validação do encaminhamento e subscrição dos fluxos</t>
  </si>
  <si>
    <t>TestesTestes unitários do Model executadosPróprio projectoDeve existir validação da lógica de negócio e persistência</t>
  </si>
  <si>
    <t>TestesTestabilidade da ViewView.csA View deve manter-se focada em input/output para não dificultar validação posterior</t>
  </si>
  <si>
    <t>TestesPlano de testes de integraçãoRegisto do VerificadorDevem estar definidos cenários View -&gt; Controller -&gt; Model -&gt; View</t>
  </si>
  <si>
    <t>TestesTestes de integração executadosPróprio projectoOs fluxos principais devem ser validados ponta-a-ponta</t>
  </si>
  <si>
    <t>Equipa: 11- Codezilla</t>
  </si>
  <si>
    <t>UM1</t>
  </si>
  <si>
    <t>Registar novo produto</t>
  </si>
  <si>
    <t>UM2</t>
  </si>
  <si>
    <t>Actualizar produto existente</t>
  </si>
  <si>
    <t>UM3</t>
  </si>
  <si>
    <t>Remover quantidade com stock suficiente</t>
  </si>
  <si>
    <t>UM4</t>
  </si>
  <si>
    <t>Remover quantidade com stock insuficiente</t>
  </si>
  <si>
    <t>UM5</t>
  </si>
  <si>
    <t>Gerar lista de reposição</t>
  </si>
  <si>
    <t>UM6</t>
  </si>
  <si>
    <t>Testes unitários - Model</t>
  </si>
  <si>
    <t>UC1</t>
  </si>
  <si>
    <t>Opção inválida no menu</t>
  </si>
  <si>
    <t>UC2</t>
  </si>
  <si>
    <t>abc</t>
  </si>
  <si>
    <t>UC3</t>
  </si>
  <si>
    <t>Registo com dados inválidos</t>
  </si>
  <si>
    <t>Nome vazio ou quantidade &lt;= 0</t>
  </si>
  <si>
    <t>UC4</t>
  </si>
  <si>
    <t>Remoção com dados inválidos</t>
  </si>
  <si>
    <t>UC5</t>
  </si>
  <si>
    <t>Encerramento controlado</t>
  </si>
  <si>
    <t>Testes unitários - Controller</t>
  </si>
  <si>
    <t>Testes de integração - fluxos principais MVC</t>
  </si>
  <si>
    <t>IM1</t>
  </si>
  <si>
    <t>Fluxo completo de registo e consulta</t>
  </si>
  <si>
    <t>O produto aparece correctamente no stock</t>
  </si>
  <si>
    <t>IM2</t>
  </si>
  <si>
    <t>Fluxo completo de remoção válida</t>
  </si>
  <si>
    <t>IM3</t>
  </si>
  <si>
    <t>Fluxo completo de remoção com erro</t>
  </si>
  <si>
    <t>Produto com stock insuficiente</t>
  </si>
  <si>
    <t>IM4</t>
  </si>
  <si>
    <t>Produtos abaixo do mínimo</t>
  </si>
  <si>
    <t>IM5</t>
  </si>
  <si>
    <t>Saída controlada</t>
  </si>
  <si>
    <t>ER1</t>
  </si>
  <si>
    <t>ER2</t>
  </si>
  <si>
    <t>Texto inválido no menu</t>
  </si>
  <si>
    <t>ER3</t>
  </si>
  <si>
    <t>Quantidade negativa ou zero</t>
  </si>
  <si>
    <t>ER4</t>
  </si>
  <si>
    <t>ER5</t>
  </si>
  <si>
    <t>Repetição da lista de reposição</t>
  </si>
  <si>
    <t>Escolher várias vezes a opção 4</t>
  </si>
  <si>
    <t>Testes de validação / excepções / robustez</t>
  </si>
  <si>
    <t>LR</t>
  </si>
  <si>
    <t xml:space="preserve">Criado/Testado por: </t>
  </si>
  <si>
    <t>PN</t>
  </si>
  <si>
    <t>OK</t>
  </si>
  <si>
    <t>UV1</t>
  </si>
  <si>
    <t>Menu aceita opção válida de consulta</t>
  </si>
  <si>
    <t>É emitido o evento OpcaoSelecionada com o valor "1"</t>
  </si>
  <si>
    <t>UV2</t>
  </si>
  <si>
    <t>Menu aceita opção válida de saída</t>
  </si>
  <si>
    <t>É emitido o evento OpcaoSelecionada com o valor "9"</t>
  </si>
  <si>
    <t>UV3</t>
  </si>
  <si>
    <t>Leitura de inteiro rejeita texto inválido</t>
  </si>
  <si>
    <t>abc, depois 5</t>
  </si>
  <si>
    <t>A View mostra mensagem de erro e só aceita o valor inteiro válido</t>
  </si>
  <si>
    <t>UV4</t>
  </si>
  <si>
    <t>Leitura de inteiro rejeita vazio</t>
  </si>
  <si>
    <t>"", depois 2</t>
  </si>
  <si>
    <t>A View insiste até receber inteiro válido</t>
  </si>
  <si>
    <t>UV5</t>
  </si>
  <si>
    <t>Pedido de dados de produto emite evento correcto</t>
  </si>
  <si>
    <t>Nome=Arroz, Quantidade=10, Mínimo=3, Unidade=kg</t>
  </si>
  <si>
    <t>É emitido DadosProdutoIntroduzidos com os valores recolhidos</t>
  </si>
  <si>
    <t>UV6</t>
  </si>
  <si>
    <t>Pedido de remoção emite evento correcto</t>
  </si>
  <si>
    <t>Nome=Arroz, Quantidade=4</t>
  </si>
  <si>
    <t>É emitido RemocaoSolicitada com os valores recolhidos</t>
  </si>
  <si>
    <t>UV7</t>
  </si>
  <si>
    <t>Mostrar stock apresenta lista sem alterar dados</t>
  </si>
  <si>
    <t>Lista com produtos válidos</t>
  </si>
  <si>
    <t>A View apresenta os produtos e não altera o estado recebido</t>
  </si>
  <si>
    <t>UV8</t>
  </si>
  <si>
    <t>Mostrar lista de reposição apresenta apenas os dados recebidos</t>
  </si>
  <si>
    <t>Lista de reposição recebida do Model</t>
  </si>
  <si>
    <t>A View limita-se a apresentar os dados</t>
  </si>
  <si>
    <t>UV9</t>
  </si>
  <si>
    <t>Mostrar erro apresenta mensagem sem lógica adicional</t>
  </si>
  <si>
    <t>"Stock insuficiente"</t>
  </si>
  <si>
    <t>A View apresenta a mensagem e não assume lógica do Model</t>
  </si>
  <si>
    <t>UV10</t>
  </si>
  <si>
    <t>Mostrar confirmação apresenta mensagem final da operação</t>
  </si>
  <si>
    <t>"Produto registado com sucesso"</t>
  </si>
  <si>
    <t>A View apresenta a confirmação e termina o fluxo visual correctamente</t>
  </si>
  <si>
    <t>Testes unitários - View</t>
  </si>
  <si>
    <t>Mensagem de erro e continuidade normal do menu</t>
  </si>
  <si>
    <t>Erro apresentado sem duplicação do menu</t>
  </si>
  <si>
    <t>Erro apresentado sem crash</t>
  </si>
  <si>
    <t>Comportamento estável, sem duplicação anómala</t>
  </si>
  <si>
    <t>Registar Arroz, 10, 3, kg; depois consultar</t>
  </si>
  <si>
    <t>Produto com stock suficiente</t>
  </si>
  <si>
    <t>Stock actualizado e confirmação apresentada</t>
  </si>
  <si>
    <t>Fluxo de lista de reposição</t>
  </si>
  <si>
    <t>Lista apresentada correctamente</t>
  </si>
  <si>
    <t>Aplicação encerra de forma controlada</t>
  </si>
  <si>
    <t>Arroz, 10, 3, kg</t>
  </si>
  <si>
    <t>Produto adicionado, persistência actualizada, confirmação emitida</t>
  </si>
  <si>
    <t>Arroz, 15, 4, kg</t>
  </si>
  <si>
    <t>Produto actualizado sem duplicação</t>
  </si>
  <si>
    <t>Produto com 10, remover 4</t>
  </si>
  <si>
    <t>Quantidade final 6, confirmação emitida</t>
  </si>
  <si>
    <t>Produto com 2, remover 5</t>
  </si>
  <si>
    <t>Não altera stock, erro emitido</t>
  </si>
  <si>
    <t>Produtos acima e abaixo do mínimo</t>
  </si>
  <si>
    <t>Só devolve os produtos abaixo do mínimo</t>
  </si>
  <si>
    <t>Carregar dados JSON</t>
  </si>
  <si>
    <t>Ficheiro válido</t>
  </si>
  <si>
    <t>Lista interna carregada correctamente</t>
  </si>
  <si>
    <t>UM7</t>
  </si>
  <si>
    <t>Guardar dados JSON</t>
  </si>
  <si>
    <t>Lista com produtos</t>
  </si>
  <si>
    <t>Ficheiro actualizado correctamente</t>
  </si>
  <si>
    <t>Opção inválida numérica</t>
  </si>
  <si>
    <t>O Controller manda a View apresentar erro</t>
  </si>
  <si>
    <t>O Controller rejeita e manda a View apresentar erro</t>
  </si>
  <si>
    <t>O Controller acciona o fecho controlado</t>
  </si>
  <si>
    <t>Encaminhamento de registo válido</t>
  </si>
  <si>
    <t>Dados válidos de produto</t>
  </si>
  <si>
    <t>O Controller encaminha correctamente para o Model</t>
  </si>
  <si>
    <t>UC6</t>
  </si>
  <si>
    <t>Encaminhamento de remoção válida</t>
  </si>
  <si>
    <t>Nome e quantidade válidos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</si>
</sst>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</font>
    <font>
      <b/>
      <u/>
      <sz val="12"/>
      <color theme="1"/>
      <name val="Calibri"/>
    </font>
    <font>
      <b/>
      <u/>
      <sz val="12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u/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21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0" borderId="0" xfId="0" applyFont="1" applyAlignment="1">
      <alignment vertical="center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0" borderId="0" xfId="0" applyFont="1" applyAlignment="1">
      <alignment horizontal="center" vertical="center" wrapText="1"/>
    </xf>
    <xf numFmtId="14" fontId="0" fillId="0" borderId="0" xfId="0" applyNumberFormat="1"/>
    <xf numFmtId="0" fontId="3" fillId="0" borderId="0" xfId="0" applyFont="1"/>
    <xf numFmtId="0" fontId="6" fillId="0" borderId="0" xfId="1" applyFont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8" fillId="0" borderId="0" xfId="1" applyFont="1" applyAlignment="1">
      <alignment horizontal="left" vertical="center"/>
    </xf>
    <xf numFmtId="0" fontId="9" fillId="0" borderId="0" xfId="1" applyFont="1" applyAlignment="1">
      <alignment horizontal="center" vertical="center"/>
    </xf>
    <xf numFmtId="0" fontId="10" fillId="0" borderId="0" xfId="1" applyFont="1"/>
    <xf numFmtId="0" fontId="3" fillId="0" borderId="0" xfId="1" applyFont="1"/>
    <xf numFmtId="0" fontId="11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 wrapText="1"/>
    </xf>
    <xf numFmtId="0" fontId="12" fillId="0" borderId="0" xfId="1" applyFont="1" applyAlignment="1">
      <alignment horizontal="center" vertical="center" wrapText="1"/>
    </xf>
  </cellXfs>
  <cellStyles count="2">
    <cellStyle name="Normal" xfId="0" builtinId="0"/>
    <cellStyle name="Normal 2" xfId="1" xr:uid="{612E69E9-5A3E-4472-B949-4157E02DDDF1}"/>
  </cellStyles>
  <dxfs count="11"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numFmt numFmtId="19" formatCode="dd/mm/yyyy"/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2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94F472F-BA34-40BA-97D2-4060CCFDF27D}" name="Table1" displayName="Table1" ref="A1:I22" totalsRowShown="0" headerRowDxfId="10" dataDxfId="9" headerRowCellStyle="Normal 2">
  <autoFilter ref="A1:I22" xr:uid="{394F472F-BA34-40BA-97D2-4060CCFDF27D}"/>
  <tableColumns count="9">
    <tableColumn id="1" xr3:uid="{2C7870E8-9AB5-4232-9401-1075123CB322}" name="ID" dataDxfId="8"/>
    <tableColumn id="2" xr3:uid="{CF1921F0-48CF-441B-8A43-300957470D29}" name="Descrição" dataDxfId="7">
      <calculatedColumnFormula>_xlfn.XLOOKUP($A2,'Plano de Testes (Minuta)'!$A:$A,'Plano de Testes (Minuta)'!B:B)</calculatedColumnFormula>
    </tableColumn>
    <tableColumn id="3" xr3:uid="{BBE88039-91AE-455F-A7C3-2CF2B687531F}" name="Dados de Input" dataDxfId="6">
      <calculatedColumnFormula>_xlfn.XLOOKUP($A2,'Plano de Testes (Minuta)'!$A:$A,'Plano de Testes (Minuta)'!C:C)</calculatedColumnFormula>
    </tableColumn>
    <tableColumn id="4" xr3:uid="{9B59D6E7-0ABF-4F2D-BA49-4C61FCAED498}" name="Resultado esperado" dataDxfId="5">
      <calculatedColumnFormula>_xlfn.XLOOKUP($A2,'Plano de Testes (Minuta)'!$A:$A,'Plano de Testes (Minuta)'!D:D)</calculatedColumnFormula>
    </tableColumn>
    <tableColumn id="5" xr3:uid="{037692BF-C725-4887-A765-D5BB269778FF}" name="Introduzido por" dataDxfId="4"/>
    <tableColumn id="6" xr3:uid="{66FA6F5A-B3E2-41AC-A487-CFF5BDBAA2A2}" name="Introduzido em:" dataDxfId="3"/>
    <tableColumn id="7" xr3:uid="{C862B575-65F4-4D24-B965-8CA7E55DDC39}" name="Criado/Testado por: " dataDxfId="2"/>
    <tableColumn id="8" xr3:uid="{631FD125-E751-4C1E-95D3-00B2F088621D}" name="Corrido em:" dataDxfId="1"/>
    <tableColumn id="9" xr3:uid="{0557674D-B274-4146-B316-4E2C1E27A82E}" name="Resultado Obtid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E4E80-F95D-4D64-8887-B16866BD77DB}">
  <dimension ref="A1:F52"/>
  <sheetViews>
    <sheetView workbookViewId="0">
      <selection activeCell="B3" sqref="B3"/>
    </sheetView>
  </sheetViews>
  <sheetFormatPr defaultRowHeight="15" x14ac:dyDescent="0.25"/>
  <cols>
    <col min="1" max="1" width="15" bestFit="1" customWidth="1"/>
    <col min="3" max="3" width="18" bestFit="1" customWidth="1"/>
    <col min="4" max="6" width="10.7109375" bestFit="1" customWidth="1"/>
  </cols>
  <sheetData>
    <row r="1" spans="1:6" x14ac:dyDescent="0.25">
      <c r="A1" s="4" t="s">
        <v>221</v>
      </c>
      <c r="D1" t="s">
        <v>222</v>
      </c>
    </row>
    <row r="2" spans="1:6" x14ac:dyDescent="0.25">
      <c r="A2" s="3" t="s">
        <v>204</v>
      </c>
      <c r="B2" s="3" t="s">
        <v>25</v>
      </c>
      <c r="C2" s="3" t="s">
        <v>26</v>
      </c>
      <c r="D2" s="9">
        <v>46131</v>
      </c>
      <c r="E2" s="9">
        <v>46138</v>
      </c>
      <c r="F2" s="9">
        <v>46140</v>
      </c>
    </row>
    <row r="51" spans="1:3" x14ac:dyDescent="0.25">
      <c r="A51" s="12" t="s">
        <v>54</v>
      </c>
      <c r="B51" s="10"/>
      <c r="C51" s="10"/>
    </row>
    <row r="52" spans="1:3" x14ac:dyDescent="0.25">
      <c r="A52" s="13" t="s">
        <v>216</v>
      </c>
      <c r="B52" s="13" t="s">
        <v>212</v>
      </c>
      <c r="C52" s="13" t="s">
        <v>213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ED22D-2303-481F-BAFB-5A97F828FD35}">
  <dimension ref="A1:C11"/>
  <sheetViews>
    <sheetView workbookViewId="0">
      <selection activeCell="A5" sqref="A5:C6"/>
    </sheetView>
  </sheetViews>
  <sheetFormatPr defaultRowHeight="15" x14ac:dyDescent="0.25"/>
  <cols>
    <col min="1" max="2" width="29" customWidth="1"/>
    <col min="3" max="3" width="44.7109375" customWidth="1"/>
  </cols>
  <sheetData>
    <row r="1" spans="1:3" ht="24" x14ac:dyDescent="0.25">
      <c r="A1" s="5" t="s">
        <v>19</v>
      </c>
    </row>
    <row r="2" spans="1:3" x14ac:dyDescent="0.25">
      <c r="A2" s="4" t="s">
        <v>18</v>
      </c>
    </row>
    <row r="3" spans="1:3" x14ac:dyDescent="0.25">
      <c r="A3" s="4" t="s">
        <v>17</v>
      </c>
    </row>
    <row r="4" spans="1:3" x14ac:dyDescent="0.25">
      <c r="A4" s="4"/>
    </row>
    <row r="5" spans="1:3" x14ac:dyDescent="0.25">
      <c r="A5" s="3" t="s">
        <v>16</v>
      </c>
      <c r="B5" s="3" t="s">
        <v>15</v>
      </c>
      <c r="C5" s="3" t="s">
        <v>14</v>
      </c>
    </row>
    <row r="6" spans="1:3" ht="60" x14ac:dyDescent="0.25">
      <c r="A6" s="2" t="s">
        <v>13</v>
      </c>
      <c r="B6" s="2" t="s">
        <v>4</v>
      </c>
      <c r="C6" s="1" t="s">
        <v>12</v>
      </c>
    </row>
    <row r="7" spans="1:3" ht="60" x14ac:dyDescent="0.25">
      <c r="A7" s="2" t="s">
        <v>11</v>
      </c>
      <c r="B7" s="2" t="s">
        <v>4</v>
      </c>
      <c r="C7" s="1" t="s">
        <v>10</v>
      </c>
    </row>
    <row r="8" spans="1:3" ht="60" x14ac:dyDescent="0.25">
      <c r="A8" s="2" t="s">
        <v>9</v>
      </c>
      <c r="B8" s="2" t="s">
        <v>4</v>
      </c>
      <c r="C8" s="1" t="s">
        <v>8</v>
      </c>
    </row>
    <row r="9" spans="1:3" ht="45" x14ac:dyDescent="0.25">
      <c r="A9" s="2" t="s">
        <v>7</v>
      </c>
      <c r="B9" s="2" t="s">
        <v>4</v>
      </c>
      <c r="C9" s="1" t="s">
        <v>6</v>
      </c>
    </row>
    <row r="10" spans="1:3" ht="45" x14ac:dyDescent="0.25">
      <c r="A10" s="2" t="s">
        <v>5</v>
      </c>
      <c r="B10" s="2" t="s">
        <v>4</v>
      </c>
      <c r="C10" s="1" t="s">
        <v>3</v>
      </c>
    </row>
    <row r="11" spans="1:3" ht="45" x14ac:dyDescent="0.25">
      <c r="A11" s="2" t="s">
        <v>2</v>
      </c>
      <c r="B11" s="2" t="s">
        <v>1</v>
      </c>
      <c r="C11" s="1" t="s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526CA-B3E2-43A2-AB52-FE2D25F4D0A2}">
  <dimension ref="A1:L36"/>
  <sheetViews>
    <sheetView workbookViewId="0">
      <selection sqref="A1:XFD1048576"/>
    </sheetView>
  </sheetViews>
  <sheetFormatPr defaultColWidth="28" defaultRowHeight="15" x14ac:dyDescent="0.25"/>
  <cols>
    <col min="1" max="4" width="28" style="6"/>
    <col min="5" max="5" width="34.5703125" style="6" bestFit="1" customWidth="1"/>
    <col min="6" max="6" width="13.7109375" style="6" bestFit="1" customWidth="1"/>
    <col min="7" max="7" width="36.28515625" style="6" bestFit="1" customWidth="1"/>
    <col min="8" max="16384" width="28" style="6"/>
  </cols>
  <sheetData>
    <row r="1" spans="1:12" x14ac:dyDescent="0.25">
      <c r="A1" s="3" t="s">
        <v>204</v>
      </c>
      <c r="B1" s="3" t="s">
        <v>25</v>
      </c>
      <c r="C1" s="3" t="s">
        <v>26</v>
      </c>
      <c r="D1" s="3" t="s">
        <v>27</v>
      </c>
      <c r="E1" s="3" t="s">
        <v>20</v>
      </c>
      <c r="F1" s="3" t="s">
        <v>15</v>
      </c>
      <c r="G1" s="8" t="s">
        <v>28</v>
      </c>
      <c r="H1" s="3" t="s">
        <v>21</v>
      </c>
      <c r="I1" s="3" t="s">
        <v>22</v>
      </c>
      <c r="J1" s="3" t="s">
        <v>23</v>
      </c>
      <c r="K1" s="3" t="s">
        <v>24</v>
      </c>
      <c r="L1" s="3"/>
    </row>
    <row r="2" spans="1:12" ht="60" x14ac:dyDescent="0.25">
      <c r="A2" s="6">
        <v>1</v>
      </c>
      <c r="B2" s="6" t="s">
        <v>29</v>
      </c>
      <c r="C2" s="6" t="s">
        <v>30</v>
      </c>
      <c r="D2" s="2" t="s">
        <v>31</v>
      </c>
      <c r="E2" s="2" t="s">
        <v>32</v>
      </c>
      <c r="F2" s="1" t="s">
        <v>33</v>
      </c>
      <c r="G2" s="1" t="s">
        <v>53</v>
      </c>
      <c r="H2" s="2"/>
      <c r="I2" s="1"/>
      <c r="J2" s="2" t="s">
        <v>34</v>
      </c>
      <c r="K2" s="7">
        <v>46131</v>
      </c>
      <c r="L2" s="6" t="str">
        <f>B2&amp;C2&amp;D2&amp;E2</f>
        <v>MVCArranque da aplicaçãoProgram.csProgram apenas arranca o Controller</v>
      </c>
    </row>
    <row r="3" spans="1:12" ht="75" x14ac:dyDescent="0.25">
      <c r="A3" s="6">
        <v>2</v>
      </c>
      <c r="B3" s="6" t="s">
        <v>29</v>
      </c>
      <c r="C3" s="6" t="s">
        <v>62</v>
      </c>
      <c r="D3" s="6" t="s">
        <v>35</v>
      </c>
      <c r="E3" s="6" t="s">
        <v>63</v>
      </c>
      <c r="F3" s="6" t="s">
        <v>33</v>
      </c>
      <c r="G3" s="6" t="s">
        <v>64</v>
      </c>
      <c r="J3" s="6" t="s">
        <v>34</v>
      </c>
      <c r="K3" s="7">
        <v>46131</v>
      </c>
      <c r="L3" s="6" t="str">
        <f t="shared" ref="L3:L36" si="0">B3&amp;C3&amp;D3&amp;E3</f>
        <v>MVCArranque no ControllerController.csO ciclo da aplicação deve iniciar no Controller e passar para a View</v>
      </c>
    </row>
    <row r="4" spans="1:12" ht="75" x14ac:dyDescent="0.25">
      <c r="A4" s="6">
        <v>3</v>
      </c>
      <c r="B4" s="6" t="s">
        <v>29</v>
      </c>
      <c r="C4" s="6" t="s">
        <v>65</v>
      </c>
      <c r="D4" s="6" t="s">
        <v>35</v>
      </c>
      <c r="E4" s="6" t="s">
        <v>66</v>
      </c>
      <c r="F4" s="6" t="s">
        <v>33</v>
      </c>
      <c r="G4" s="6" t="s">
        <v>67</v>
      </c>
      <c r="J4" s="6" t="s">
        <v>34</v>
      </c>
      <c r="K4" s="7">
        <v>46131</v>
      </c>
      <c r="L4" s="6" t="str">
        <f t="shared" si="0"/>
        <v>MVCController como ponto central de ligaçãoController.csO Controller deve instanciar e ligar View e Model</v>
      </c>
    </row>
    <row r="5" spans="1:12" ht="60" x14ac:dyDescent="0.25">
      <c r="A5" s="6">
        <v>4</v>
      </c>
      <c r="B5" s="6" t="s">
        <v>29</v>
      </c>
      <c r="C5" s="6" t="s">
        <v>68</v>
      </c>
      <c r="D5" s="6" t="s">
        <v>37</v>
      </c>
      <c r="E5" s="6" t="s">
        <v>69</v>
      </c>
      <c r="F5" s="6" t="s">
        <v>33</v>
      </c>
      <c r="G5" s="6" t="s">
        <v>70</v>
      </c>
      <c r="J5" s="6" t="s">
        <v>34</v>
      </c>
      <c r="K5" s="7">
        <v>46131</v>
      </c>
      <c r="L5" s="6" t="str">
        <f t="shared" si="0"/>
        <v>MVCInput entra na ViewView.csA variante Curry &amp; Grace exige input na View</v>
      </c>
    </row>
    <row r="6" spans="1:12" ht="75" x14ac:dyDescent="0.25">
      <c r="A6" s="6">
        <v>5</v>
      </c>
      <c r="B6" s="6" t="s">
        <v>29</v>
      </c>
      <c r="C6" s="6" t="s">
        <v>36</v>
      </c>
      <c r="D6" s="6" t="s">
        <v>37</v>
      </c>
      <c r="E6" s="6" t="s">
        <v>71</v>
      </c>
      <c r="F6" s="6" t="s">
        <v>33</v>
      </c>
      <c r="G6" s="6" t="s">
        <v>72</v>
      </c>
      <c r="J6" s="6" t="s">
        <v>34</v>
      </c>
      <c r="K6" s="7">
        <v>46131</v>
      </c>
      <c r="L6" s="6" t="str">
        <f t="shared" si="0"/>
        <v>MVCView não conhece directamente o ModelView.csA View não deve instanciar nem referenciar directamente o Model</v>
      </c>
    </row>
    <row r="7" spans="1:12" ht="60" x14ac:dyDescent="0.25">
      <c r="A7" s="6">
        <v>6</v>
      </c>
      <c r="B7" s="6" t="s">
        <v>29</v>
      </c>
      <c r="C7" s="6" t="s">
        <v>40</v>
      </c>
      <c r="D7" s="6" t="s">
        <v>41</v>
      </c>
      <c r="E7" s="6" t="s">
        <v>73</v>
      </c>
      <c r="F7" s="6" t="s">
        <v>33</v>
      </c>
      <c r="G7" s="6" t="s">
        <v>74</v>
      </c>
      <c r="J7" s="6" t="s">
        <v>34</v>
      </c>
      <c r="K7" s="7">
        <v>46131</v>
      </c>
      <c r="L7" s="6" t="str">
        <f t="shared" si="0"/>
        <v>MVCModel não conhece View nem ControllerModel.csO Model não deve depender de View nem Controller</v>
      </c>
    </row>
    <row r="8" spans="1:12" ht="60" x14ac:dyDescent="0.25">
      <c r="A8" s="6">
        <v>7</v>
      </c>
      <c r="B8" s="6" t="s">
        <v>29</v>
      </c>
      <c r="C8" s="6" t="s">
        <v>75</v>
      </c>
      <c r="D8" s="6" t="s">
        <v>37</v>
      </c>
      <c r="E8" s="6" t="s">
        <v>76</v>
      </c>
      <c r="F8" s="6" t="s">
        <v>33</v>
      </c>
      <c r="G8" s="6" t="s">
        <v>77</v>
      </c>
      <c r="J8" s="6" t="s">
        <v>34</v>
      </c>
      <c r="K8" s="7">
        <v>46131</v>
      </c>
      <c r="L8" s="6" t="str">
        <f t="shared" si="0"/>
        <v>MVCSaída apresentada pela ViewView.csOs resultados devem ser apresentados na View</v>
      </c>
    </row>
    <row r="9" spans="1:12" ht="75" x14ac:dyDescent="0.25">
      <c r="A9" s="6">
        <v>8</v>
      </c>
      <c r="B9" s="6" t="s">
        <v>29</v>
      </c>
      <c r="C9" s="6" t="s">
        <v>78</v>
      </c>
      <c r="D9" s="6" t="s">
        <v>35</v>
      </c>
      <c r="E9" s="6" t="s">
        <v>79</v>
      </c>
      <c r="F9" s="6" t="s">
        <v>33</v>
      </c>
      <c r="G9" s="6" t="s">
        <v>186</v>
      </c>
      <c r="J9" s="6" t="s">
        <v>34</v>
      </c>
      <c r="K9" s="7">
        <v>46131</v>
      </c>
      <c r="L9" s="6" t="str">
        <f t="shared" si="0"/>
        <v>MVCPapel do Controller limitado à coordenaçãoController.csO Controller não deve conter lógica de negócio do domínio</v>
      </c>
    </row>
    <row r="10" spans="1:12" ht="90" x14ac:dyDescent="0.25">
      <c r="A10" s="6">
        <v>9</v>
      </c>
      <c r="B10" s="6" t="s">
        <v>42</v>
      </c>
      <c r="C10" s="6" t="s">
        <v>43</v>
      </c>
      <c r="D10" s="6" t="s">
        <v>35</v>
      </c>
      <c r="E10" s="6" t="s">
        <v>80</v>
      </c>
      <c r="F10" s="6" t="s">
        <v>33</v>
      </c>
      <c r="G10" s="6" t="s">
        <v>44</v>
      </c>
      <c r="J10" s="6" t="s">
        <v>34</v>
      </c>
      <c r="K10" s="7">
        <v>46131</v>
      </c>
      <c r="L10" s="6" t="str">
        <f t="shared" si="0"/>
        <v>Eventos/DelegadosInput da View chega ao Controller por eventosController.csOs inputs do utilizador devem ser recebidos pelo Controller via eventos</v>
      </c>
    </row>
    <row r="11" spans="1:12" ht="105" x14ac:dyDescent="0.25">
      <c r="A11" s="6">
        <v>10</v>
      </c>
      <c r="B11" s="6" t="s">
        <v>42</v>
      </c>
      <c r="C11" s="6" t="s">
        <v>81</v>
      </c>
      <c r="D11" s="6" t="s">
        <v>82</v>
      </c>
      <c r="E11" s="6" t="s">
        <v>83</v>
      </c>
      <c r="F11" s="6" t="s">
        <v>33</v>
      </c>
      <c r="G11" s="6" t="s">
        <v>48</v>
      </c>
      <c r="H11" s="6" t="s">
        <v>187</v>
      </c>
      <c r="I11" s="6" t="s">
        <v>173</v>
      </c>
      <c r="J11" s="6" t="s">
        <v>39</v>
      </c>
      <c r="K11" s="7">
        <v>46131</v>
      </c>
      <c r="L11" s="6" t="str">
        <f t="shared" si="0"/>
        <v>Eventos/DelegadosPedidos de consulta e reposição estão ligados por delegadosController.cs / View.csOs pedidos de leitura devem estar formalmente ligados no arranque</v>
      </c>
    </row>
    <row r="12" spans="1:12" ht="75" x14ac:dyDescent="0.25">
      <c r="A12" s="6">
        <v>11</v>
      </c>
      <c r="B12" s="6" t="s">
        <v>42</v>
      </c>
      <c r="C12" s="6" t="s">
        <v>84</v>
      </c>
      <c r="D12" s="6" t="s">
        <v>35</v>
      </c>
      <c r="E12" s="6" t="s">
        <v>85</v>
      </c>
      <c r="F12" s="6" t="s">
        <v>33</v>
      </c>
      <c r="G12" s="6" t="s">
        <v>45</v>
      </c>
      <c r="J12" s="6" t="s">
        <v>34</v>
      </c>
      <c r="K12" s="7">
        <v>46131</v>
      </c>
      <c r="L12" s="6" t="str">
        <f t="shared" si="0"/>
        <v>Eventos/DelegadosNotificações do Model chegam à View por eventosController.csAs respostas do Model devem chegar à View por eventos</v>
      </c>
    </row>
    <row r="13" spans="1:12" ht="75" x14ac:dyDescent="0.25">
      <c r="A13" s="6">
        <v>12</v>
      </c>
      <c r="B13" s="6" t="s">
        <v>42</v>
      </c>
      <c r="C13" s="6" t="s">
        <v>86</v>
      </c>
      <c r="D13" s="6" t="s">
        <v>37</v>
      </c>
      <c r="E13" s="6" t="s">
        <v>87</v>
      </c>
      <c r="F13" s="6" t="s">
        <v>33</v>
      </c>
      <c r="G13" s="6" t="s">
        <v>88</v>
      </c>
      <c r="J13" s="6" t="s">
        <v>34</v>
      </c>
      <c r="K13" s="7">
        <v>46131</v>
      </c>
      <c r="L13" s="6" t="str">
        <f t="shared" si="0"/>
        <v>Eventos/DelegadosInvocação segura de eventos na ViewView.csA View deve invocar eventos com verificação nula</v>
      </c>
    </row>
    <row r="14" spans="1:12" ht="75" x14ac:dyDescent="0.25">
      <c r="A14" s="6">
        <v>13</v>
      </c>
      <c r="B14" s="6" t="s">
        <v>46</v>
      </c>
      <c r="C14" s="6" t="s">
        <v>89</v>
      </c>
      <c r="D14" s="6" t="s">
        <v>37</v>
      </c>
      <c r="E14" s="6" t="s">
        <v>90</v>
      </c>
      <c r="F14" s="6" t="s">
        <v>33</v>
      </c>
      <c r="G14" s="6" t="s">
        <v>91</v>
      </c>
      <c r="J14" s="6" t="s">
        <v>34</v>
      </c>
      <c r="K14" s="7">
        <v>46131</v>
      </c>
      <c r="L14" s="6" t="str">
        <f t="shared" si="0"/>
        <v>AcoplamentoAusência de acoplamento estrutural View -&gt; ModelView.csA View não deve criar nem conhecer o Model</v>
      </c>
    </row>
    <row r="15" spans="1:12" ht="90" x14ac:dyDescent="0.25">
      <c r="A15" s="6">
        <v>14</v>
      </c>
      <c r="B15" s="6" t="s">
        <v>46</v>
      </c>
      <c r="C15" s="6" t="s">
        <v>92</v>
      </c>
      <c r="D15" s="6" t="s">
        <v>41</v>
      </c>
      <c r="E15" s="6" t="s">
        <v>93</v>
      </c>
      <c r="F15" s="6" t="s">
        <v>33</v>
      </c>
      <c r="G15" s="6" t="s">
        <v>94</v>
      </c>
      <c r="J15" s="6" t="s">
        <v>34</v>
      </c>
      <c r="K15" s="7">
        <v>46131</v>
      </c>
      <c r="L15" s="6" t="str">
        <f t="shared" si="0"/>
        <v>AcoplamentoAusência de acoplamento estrutural Model -&gt; View/ControllerModel.csO Model deve estar isolado dos outros componentes</v>
      </c>
    </row>
    <row r="16" spans="1:12" ht="90" x14ac:dyDescent="0.25">
      <c r="A16" s="6">
        <v>15</v>
      </c>
      <c r="B16" s="6" t="s">
        <v>46</v>
      </c>
      <c r="C16" s="6" t="s">
        <v>95</v>
      </c>
      <c r="D16" s="6" t="s">
        <v>47</v>
      </c>
      <c r="E16" s="6" t="s">
        <v>96</v>
      </c>
      <c r="F16" s="6" t="s">
        <v>38</v>
      </c>
      <c r="G16" s="6" t="s">
        <v>97</v>
      </c>
      <c r="H16" s="6" t="s">
        <v>98</v>
      </c>
      <c r="I16" s="6" t="s">
        <v>99</v>
      </c>
      <c r="J16" s="6" t="s">
        <v>49</v>
      </c>
      <c r="K16" s="7">
        <v>46131</v>
      </c>
      <c r="L16" s="6" t="str">
        <f t="shared" si="0"/>
        <v>AcoplamentoMediação explícita do Controller nos fluxos de leituraController.cs / arquitecturaOs fluxos principais devem passar explicitamente pelo Controller</v>
      </c>
    </row>
    <row r="17" spans="1:12" ht="90" x14ac:dyDescent="0.25">
      <c r="A17" s="6">
        <v>16</v>
      </c>
      <c r="B17" s="6" t="s">
        <v>50</v>
      </c>
      <c r="C17" s="6" t="s">
        <v>100</v>
      </c>
      <c r="D17" s="6" t="s">
        <v>101</v>
      </c>
      <c r="E17" s="6" t="s">
        <v>102</v>
      </c>
      <c r="F17" s="6" t="s">
        <v>33</v>
      </c>
      <c r="G17" s="6" t="s">
        <v>103</v>
      </c>
      <c r="J17" s="6" t="s">
        <v>34</v>
      </c>
      <c r="K17" s="7">
        <v>46131</v>
      </c>
      <c r="L17" s="6" t="str">
        <f t="shared" si="0"/>
        <v>DocumentaçãoCoerência com a variante Curry &amp; Grace adoptadaCódigo + decisão da equipaO código deve manter input na View e coordenação geral no Controller</v>
      </c>
    </row>
    <row r="18" spans="1:12" ht="90" x14ac:dyDescent="0.25">
      <c r="A18" s="6">
        <v>17</v>
      </c>
      <c r="B18" s="6" t="s">
        <v>50</v>
      </c>
      <c r="C18" s="6" t="s">
        <v>104</v>
      </c>
      <c r="D18" s="6" t="s">
        <v>105</v>
      </c>
      <c r="E18" s="6" t="s">
        <v>106</v>
      </c>
      <c r="F18" s="6" t="s">
        <v>51</v>
      </c>
      <c r="G18" s="6" t="s">
        <v>107</v>
      </c>
      <c r="H18" s="6" t="s">
        <v>108</v>
      </c>
      <c r="I18" s="6" t="s">
        <v>109</v>
      </c>
      <c r="J18" s="6" t="s">
        <v>49</v>
      </c>
      <c r="K18" s="7">
        <v>46131</v>
      </c>
      <c r="L18" s="6" t="str">
        <f t="shared" si="0"/>
        <v>DocumentaçãoCoerência entre código e diagrama de sequência V5Controller.cs / View.cs / diagrama V5O fluxo implementado deve coincidir com o fluxo documentado</v>
      </c>
    </row>
    <row r="19" spans="1:12" ht="105" x14ac:dyDescent="0.25">
      <c r="A19" s="6">
        <v>18</v>
      </c>
      <c r="B19" s="6" t="s">
        <v>52</v>
      </c>
      <c r="C19" s="6" t="s">
        <v>110</v>
      </c>
      <c r="D19" s="6" t="s">
        <v>35</v>
      </c>
      <c r="E19" s="6" t="s">
        <v>111</v>
      </c>
      <c r="F19" s="6" t="s">
        <v>33</v>
      </c>
      <c r="G19" s="6" t="s">
        <v>112</v>
      </c>
      <c r="H19" s="6" t="s">
        <v>188</v>
      </c>
      <c r="I19" s="6" t="s">
        <v>189</v>
      </c>
      <c r="J19" s="6" t="s">
        <v>39</v>
      </c>
      <c r="K19" s="7">
        <v>46131</v>
      </c>
      <c r="L19" s="6" t="str">
        <f t="shared" si="0"/>
        <v>ImplementaçãoEstrutura base do Controller implementadaController.csO Controller deve estar funcional ao nível do arranque, coordenação e encerramento</v>
      </c>
    </row>
    <row r="20" spans="1:12" ht="90" x14ac:dyDescent="0.25">
      <c r="A20" s="6">
        <v>19</v>
      </c>
      <c r="B20" s="6" t="s">
        <v>52</v>
      </c>
      <c r="C20" s="6" t="s">
        <v>174</v>
      </c>
      <c r="D20" s="6" t="s">
        <v>82</v>
      </c>
      <c r="E20" s="6" t="s">
        <v>175</v>
      </c>
      <c r="F20" s="6" t="s">
        <v>51</v>
      </c>
      <c r="G20" s="6" t="s">
        <v>190</v>
      </c>
      <c r="H20" s="6" t="s">
        <v>176</v>
      </c>
      <c r="I20" s="6" t="s">
        <v>177</v>
      </c>
      <c r="J20" s="6" t="s">
        <v>49</v>
      </c>
      <c r="K20" s="7">
        <v>46131</v>
      </c>
      <c r="L20" s="6" t="str">
        <f t="shared" si="0"/>
        <v>ImplementaçãoCiclo do menu sem recursão acumuladaController.cs / View.csO fluxo principal não deve acumular chamadas recursivas ao menu</v>
      </c>
    </row>
    <row r="21" spans="1:12" ht="90" x14ac:dyDescent="0.25">
      <c r="A21" s="6">
        <v>20</v>
      </c>
      <c r="B21" s="6" t="s">
        <v>52</v>
      </c>
      <c r="C21" s="6" t="s">
        <v>178</v>
      </c>
      <c r="D21" s="6" t="s">
        <v>35</v>
      </c>
      <c r="E21" s="6" t="s">
        <v>179</v>
      </c>
      <c r="F21" s="6" t="s">
        <v>51</v>
      </c>
      <c r="G21" s="6" t="s">
        <v>180</v>
      </c>
      <c r="H21" s="6" t="s">
        <v>181</v>
      </c>
      <c r="I21" s="6" t="s">
        <v>182</v>
      </c>
      <c r="J21" s="6" t="s">
        <v>39</v>
      </c>
      <c r="K21" s="7">
        <v>46131</v>
      </c>
      <c r="L21" s="6" t="str">
        <f t="shared" si="0"/>
        <v>ImplementaçãoMenu não duplicado em casos de erro de validaçãoController.csEm caso de erro de validação, o menu não deve ser reapresentado duas vezes</v>
      </c>
    </row>
    <row r="22" spans="1:12" ht="90" x14ac:dyDescent="0.25">
      <c r="A22" s="6">
        <v>21</v>
      </c>
      <c r="B22" s="6" t="s">
        <v>52</v>
      </c>
      <c r="C22" s="6" t="s">
        <v>113</v>
      </c>
      <c r="D22" s="6" t="s">
        <v>37</v>
      </c>
      <c r="E22" s="6" t="s">
        <v>114</v>
      </c>
      <c r="F22" s="6" t="s">
        <v>33</v>
      </c>
      <c r="G22" s="6" t="s">
        <v>115</v>
      </c>
      <c r="J22" s="6" t="s">
        <v>34</v>
      </c>
      <c r="K22" s="7">
        <v>46131</v>
      </c>
      <c r="L22" s="6" t="str">
        <f t="shared" si="0"/>
        <v>ImplementaçãoEstrutura base da View implementadaView.csA View deve suportar menu, recolha de input e apresentação de output</v>
      </c>
    </row>
    <row r="23" spans="1:12" ht="60" x14ac:dyDescent="0.25">
      <c r="A23" s="6">
        <v>22</v>
      </c>
      <c r="B23" s="6" t="s">
        <v>52</v>
      </c>
      <c r="C23" s="6" t="s">
        <v>116</v>
      </c>
      <c r="D23" s="6" t="s">
        <v>37</v>
      </c>
      <c r="E23" s="6" t="s">
        <v>117</v>
      </c>
      <c r="F23" s="6" t="s">
        <v>33</v>
      </c>
      <c r="G23" s="6" t="s">
        <v>118</v>
      </c>
      <c r="J23" s="6" t="s">
        <v>34</v>
      </c>
      <c r="K23" s="7">
        <v>46131</v>
      </c>
      <c r="L23" s="6" t="str">
        <f t="shared" si="0"/>
        <v>ImplementaçãoLeitura válida de inteiros na ViewView.csA View deve validar input numérico básico</v>
      </c>
    </row>
    <row r="24" spans="1:12" ht="75" x14ac:dyDescent="0.25">
      <c r="A24" s="6">
        <v>23</v>
      </c>
      <c r="B24" s="6" t="s">
        <v>52</v>
      </c>
      <c r="C24" s="6" t="s">
        <v>119</v>
      </c>
      <c r="D24" s="6" t="s">
        <v>120</v>
      </c>
      <c r="E24" s="6" t="s">
        <v>121</v>
      </c>
      <c r="F24" s="6" t="s">
        <v>33</v>
      </c>
      <c r="G24" s="6" t="s">
        <v>122</v>
      </c>
      <c r="J24" s="6" t="s">
        <v>34</v>
      </c>
      <c r="K24" s="7">
        <v>46131</v>
      </c>
      <c r="L24" s="6" t="str">
        <f t="shared" si="0"/>
        <v>ImplementaçãoClasse de dados Produto definidaProduto.csDeve existir uma estrutura de dados para o domínio</v>
      </c>
    </row>
    <row r="25" spans="1:12" ht="90" x14ac:dyDescent="0.25">
      <c r="A25" s="6">
        <v>24</v>
      </c>
      <c r="B25" s="6" t="s">
        <v>52</v>
      </c>
      <c r="C25" s="6" t="s">
        <v>123</v>
      </c>
      <c r="D25" s="6" t="s">
        <v>41</v>
      </c>
      <c r="E25" s="6" t="s">
        <v>124</v>
      </c>
      <c r="F25" s="6" t="s">
        <v>51</v>
      </c>
      <c r="G25" s="6" t="s">
        <v>125</v>
      </c>
      <c r="H25" s="6" t="s">
        <v>126</v>
      </c>
      <c r="I25" s="6" t="s">
        <v>127</v>
      </c>
      <c r="J25" s="6" t="s">
        <v>49</v>
      </c>
      <c r="K25" s="7">
        <v>46131</v>
      </c>
      <c r="L25" s="6" t="str">
        <f t="shared" si="0"/>
        <v>ImplementaçãoMétodos de consulta do Model implementadosModel.csSolicitarListaProdutos e SolicitarListaReposicao devem estar funcionais</v>
      </c>
    </row>
    <row r="26" spans="1:12" ht="90" x14ac:dyDescent="0.25">
      <c r="A26" s="6">
        <v>25</v>
      </c>
      <c r="B26" s="6" t="s">
        <v>52</v>
      </c>
      <c r="C26" s="6" t="s">
        <v>128</v>
      </c>
      <c r="D26" s="6" t="s">
        <v>41</v>
      </c>
      <c r="E26" s="6" t="s">
        <v>129</v>
      </c>
      <c r="F26" s="6" t="s">
        <v>51</v>
      </c>
      <c r="G26" s="6" t="s">
        <v>125</v>
      </c>
      <c r="H26" s="6" t="s">
        <v>130</v>
      </c>
      <c r="I26" s="6" t="s">
        <v>131</v>
      </c>
      <c r="J26" s="6" t="s">
        <v>49</v>
      </c>
      <c r="K26" s="7">
        <v>46131</v>
      </c>
      <c r="L26" s="6" t="str">
        <f t="shared" si="0"/>
        <v>ImplementaçãoMétodos de lógica de negócio do Model implementadosModel.csRegistarOuAtualizarProduto e RemoverQuantidade devem estar funcionais</v>
      </c>
    </row>
    <row r="27" spans="1:12" ht="75" x14ac:dyDescent="0.25">
      <c r="A27" s="6">
        <v>26</v>
      </c>
      <c r="B27" s="6" t="s">
        <v>52</v>
      </c>
      <c r="C27" s="6" t="s">
        <v>132</v>
      </c>
      <c r="D27" s="6" t="s">
        <v>41</v>
      </c>
      <c r="E27" s="6" t="s">
        <v>133</v>
      </c>
      <c r="F27" s="6" t="s">
        <v>51</v>
      </c>
      <c r="G27" s="6" t="s">
        <v>134</v>
      </c>
      <c r="H27" s="6" t="s">
        <v>135</v>
      </c>
      <c r="I27" s="6" t="s">
        <v>136</v>
      </c>
      <c r="J27" s="6" t="s">
        <v>49</v>
      </c>
      <c r="K27" s="7">
        <v>46131</v>
      </c>
      <c r="L27" s="6" t="str">
        <f t="shared" si="0"/>
        <v>ImplementaçãoPersistência JSON implementadaModel.csCarregarDados e GuardarDados devem estar funcionais</v>
      </c>
    </row>
    <row r="28" spans="1:12" ht="120" x14ac:dyDescent="0.25">
      <c r="A28" s="6">
        <v>27</v>
      </c>
      <c r="B28" s="6" t="s">
        <v>52</v>
      </c>
      <c r="C28" s="6" t="s">
        <v>137</v>
      </c>
      <c r="D28" s="6" t="s">
        <v>138</v>
      </c>
      <c r="E28" s="6" t="s">
        <v>139</v>
      </c>
      <c r="F28" s="6" t="s">
        <v>51</v>
      </c>
      <c r="G28" s="6" t="s">
        <v>140</v>
      </c>
      <c r="H28" s="6" t="s">
        <v>141</v>
      </c>
      <c r="I28" s="6" t="s">
        <v>142</v>
      </c>
      <c r="J28" s="6" t="s">
        <v>49</v>
      </c>
      <c r="K28" s="7">
        <v>46131</v>
      </c>
      <c r="L28" s="6" t="str">
        <f t="shared" si="0"/>
        <v>ImplementaçãoDependência da API JSON declarada no projectoGestorStockDomestico.csprojO projecto deve declarar a dependência necessária para Json.NET, se a persistência a usar for mesmo essa</v>
      </c>
    </row>
    <row r="29" spans="1:12" ht="90" x14ac:dyDescent="0.25">
      <c r="A29" s="6">
        <v>28</v>
      </c>
      <c r="B29" s="6" t="s">
        <v>52</v>
      </c>
      <c r="C29" s="6" t="s">
        <v>143</v>
      </c>
      <c r="D29" s="6" t="s">
        <v>144</v>
      </c>
      <c r="E29" s="6" t="s">
        <v>145</v>
      </c>
      <c r="F29" s="6" t="s">
        <v>38</v>
      </c>
      <c r="G29" s="6" t="s">
        <v>146</v>
      </c>
      <c r="H29" s="6" t="s">
        <v>147</v>
      </c>
      <c r="I29" s="6" t="s">
        <v>148</v>
      </c>
      <c r="J29" s="6" t="s">
        <v>39</v>
      </c>
      <c r="K29" s="7">
        <v>46131</v>
      </c>
      <c r="L29" s="6" t="str">
        <f t="shared" si="0"/>
        <v>ImplementaçãoPasta de testes preparadatests/README.mdA área de testes deve ter pelo menos estrutura mínima identificada</v>
      </c>
    </row>
    <row r="30" spans="1:12" ht="75" x14ac:dyDescent="0.25">
      <c r="A30" s="6">
        <v>29</v>
      </c>
      <c r="B30" s="6" t="s">
        <v>54</v>
      </c>
      <c r="C30" s="6" t="s">
        <v>55</v>
      </c>
      <c r="D30" s="6" t="s">
        <v>56</v>
      </c>
      <c r="E30" s="6" t="s">
        <v>149</v>
      </c>
      <c r="F30" s="6" t="s">
        <v>57</v>
      </c>
      <c r="G30" s="6" t="s">
        <v>150</v>
      </c>
      <c r="H30" s="6" t="s">
        <v>151</v>
      </c>
      <c r="I30" s="6" t="s">
        <v>152</v>
      </c>
      <c r="J30" s="6" t="s">
        <v>39</v>
      </c>
      <c r="K30" s="7">
        <v>46131</v>
      </c>
      <c r="L30" s="6" t="str">
        <f t="shared" si="0"/>
        <v>TestesPlano de testes unitáriosRegisto do VerificadorDevem estar definidos casos de teste para Controller e Model</v>
      </c>
    </row>
    <row r="31" spans="1:12" ht="75" x14ac:dyDescent="0.25">
      <c r="A31" s="6">
        <v>30</v>
      </c>
      <c r="B31" s="6" t="s">
        <v>54</v>
      </c>
      <c r="C31" s="6" t="s">
        <v>153</v>
      </c>
      <c r="D31" s="6" t="s">
        <v>183</v>
      </c>
      <c r="E31" s="6" t="s">
        <v>154</v>
      </c>
      <c r="F31" s="6" t="s">
        <v>58</v>
      </c>
      <c r="G31" s="6" t="s">
        <v>184</v>
      </c>
      <c r="H31" s="6" t="s">
        <v>185</v>
      </c>
      <c r="I31" s="6" t="s">
        <v>155</v>
      </c>
      <c r="J31" s="6" t="s">
        <v>39</v>
      </c>
      <c r="K31" s="7">
        <v>46131</v>
      </c>
      <c r="L31" s="6" t="str">
        <f t="shared" si="0"/>
        <v>TestesTestes unitários do Controller executadosPróprio projectoDeve existir validação do encaminhamento e subscrição dos fluxos</v>
      </c>
    </row>
    <row r="32" spans="1:12" ht="75" x14ac:dyDescent="0.25">
      <c r="A32" s="6">
        <v>31</v>
      </c>
      <c r="B32" s="6" t="s">
        <v>54</v>
      </c>
      <c r="C32" s="6" t="s">
        <v>156</v>
      </c>
      <c r="D32" s="6" t="s">
        <v>183</v>
      </c>
      <c r="E32" s="6" t="s">
        <v>157</v>
      </c>
      <c r="F32" s="6" t="s">
        <v>58</v>
      </c>
      <c r="G32" s="6" t="s">
        <v>158</v>
      </c>
      <c r="H32" s="6" t="s">
        <v>159</v>
      </c>
      <c r="I32" s="6" t="s">
        <v>160</v>
      </c>
      <c r="J32" s="6" t="s">
        <v>39</v>
      </c>
      <c r="K32" s="7">
        <v>46131</v>
      </c>
      <c r="L32" s="6" t="str">
        <f t="shared" si="0"/>
        <v>TestesTestes unitários do Model executadosPróprio projectoDeve existir validação da lógica de negócio e persistência</v>
      </c>
    </row>
    <row r="33" spans="1:12" ht="75" x14ac:dyDescent="0.25">
      <c r="A33" s="6">
        <v>32</v>
      </c>
      <c r="B33" s="6" t="s">
        <v>54</v>
      </c>
      <c r="C33" s="6" t="s">
        <v>61</v>
      </c>
      <c r="D33" s="6" t="s">
        <v>37</v>
      </c>
      <c r="E33" s="6" t="s">
        <v>161</v>
      </c>
      <c r="F33" s="6" t="s">
        <v>38</v>
      </c>
      <c r="G33" s="6" t="s">
        <v>162</v>
      </c>
      <c r="H33" s="6" t="s">
        <v>163</v>
      </c>
      <c r="I33" s="6" t="s">
        <v>164</v>
      </c>
      <c r="J33" s="6" t="s">
        <v>39</v>
      </c>
      <c r="K33" s="7">
        <v>46131</v>
      </c>
      <c r="L33" s="6" t="str">
        <f t="shared" si="0"/>
        <v>TestesTestabilidade da ViewView.csA View deve manter-se focada em input/output para não dificultar validação posterior</v>
      </c>
    </row>
    <row r="34" spans="1:12" ht="75" x14ac:dyDescent="0.25">
      <c r="A34" s="6">
        <v>33</v>
      </c>
      <c r="B34" s="6" t="s">
        <v>54</v>
      </c>
      <c r="C34" s="6" t="s">
        <v>59</v>
      </c>
      <c r="D34" s="6" t="s">
        <v>56</v>
      </c>
      <c r="E34" s="6" t="s">
        <v>165</v>
      </c>
      <c r="F34" s="6" t="s">
        <v>57</v>
      </c>
      <c r="G34" s="6" t="s">
        <v>166</v>
      </c>
      <c r="H34" s="6" t="s">
        <v>167</v>
      </c>
      <c r="I34" s="6" t="s">
        <v>168</v>
      </c>
      <c r="J34" s="6" t="s">
        <v>39</v>
      </c>
      <c r="K34" s="7">
        <v>46131</v>
      </c>
      <c r="L34" s="6" t="str">
        <f t="shared" si="0"/>
        <v>TestesPlano de testes de integraçãoRegisto do VerificadorDevem estar definidos cenários View -&gt; Controller -&gt; Model -&gt; View</v>
      </c>
    </row>
    <row r="35" spans="1:12" ht="75" x14ac:dyDescent="0.25">
      <c r="A35" s="6">
        <v>34</v>
      </c>
      <c r="B35" s="6" t="s">
        <v>54</v>
      </c>
      <c r="C35" s="6" t="s">
        <v>60</v>
      </c>
      <c r="D35" s="6" t="s">
        <v>183</v>
      </c>
      <c r="E35" s="6" t="s">
        <v>169</v>
      </c>
      <c r="F35" s="6" t="s">
        <v>58</v>
      </c>
      <c r="G35" s="6" t="s">
        <v>170</v>
      </c>
      <c r="H35" s="6" t="s">
        <v>171</v>
      </c>
      <c r="I35" s="6" t="s">
        <v>172</v>
      </c>
      <c r="J35" s="6" t="s">
        <v>39</v>
      </c>
      <c r="K35" s="7">
        <v>46131</v>
      </c>
      <c r="L35" s="6" t="str">
        <f t="shared" si="0"/>
        <v>TestesTestes de integração executadosPróprio projectoOs fluxos principais devem ser validados ponta-a-ponta</v>
      </c>
    </row>
    <row r="36" spans="1:12" x14ac:dyDescent="0.25">
      <c r="K36" s="7"/>
      <c r="L36" s="6" t="str">
        <f t="shared" si="0"/>
        <v/>
      </c>
    </row>
  </sheetData>
  <autoFilter ref="A1:K36" xr:uid="{28F526CA-B3E2-43A2-AB52-FE2D25F4D0A2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2CFB3-FD0D-43E4-9DF9-DBEFDAAF4C7B}">
  <dimension ref="A1:L11"/>
  <sheetViews>
    <sheetView topLeftCell="A4" zoomScale="55" zoomScaleNormal="55" workbookViewId="0">
      <selection activeCell="A11" sqref="A11:K11"/>
    </sheetView>
  </sheetViews>
  <sheetFormatPr defaultColWidth="28" defaultRowHeight="15" x14ac:dyDescent="0.25"/>
  <cols>
    <col min="1" max="4" width="28" style="6"/>
    <col min="5" max="5" width="34.5703125" style="6" bestFit="1" customWidth="1"/>
    <col min="6" max="6" width="13.7109375" style="6" bestFit="1" customWidth="1"/>
    <col min="7" max="7" width="36.28515625" style="6" bestFit="1" customWidth="1"/>
    <col min="8" max="16384" width="28" style="6"/>
  </cols>
  <sheetData>
    <row r="1" spans="1:12" x14ac:dyDescent="0.25">
      <c r="A1" s="6" t="s">
        <v>204</v>
      </c>
      <c r="B1" s="3" t="s">
        <v>25</v>
      </c>
      <c r="C1" s="3" t="s">
        <v>26</v>
      </c>
      <c r="D1" s="3" t="s">
        <v>27</v>
      </c>
      <c r="E1" s="3" t="s">
        <v>20</v>
      </c>
      <c r="F1" s="3" t="s">
        <v>15</v>
      </c>
      <c r="G1" s="8" t="s">
        <v>28</v>
      </c>
      <c r="H1" s="3" t="s">
        <v>21</v>
      </c>
      <c r="I1" s="3" t="s">
        <v>22</v>
      </c>
      <c r="J1" s="3" t="s">
        <v>23</v>
      </c>
      <c r="K1" s="3" t="s">
        <v>24</v>
      </c>
      <c r="L1" s="3"/>
    </row>
    <row r="2" spans="1:12" ht="105" x14ac:dyDescent="0.25">
      <c r="A2" s="6">
        <f>_xlfn.XLOOKUP(L2,CheckT3_20260419!L:L,CheckT3_20260419!A:A)</f>
        <v>15</v>
      </c>
      <c r="B2" s="6" t="s">
        <v>46</v>
      </c>
      <c r="C2" s="6" t="s">
        <v>95</v>
      </c>
      <c r="D2" s="6" t="s">
        <v>47</v>
      </c>
      <c r="E2" s="6" t="s">
        <v>96</v>
      </c>
      <c r="F2" s="6" t="s">
        <v>38</v>
      </c>
      <c r="G2" s="6" t="s">
        <v>205</v>
      </c>
      <c r="H2" s="6" t="s">
        <v>191</v>
      </c>
      <c r="I2" s="6" t="s">
        <v>192</v>
      </c>
      <c r="J2" s="6" t="s">
        <v>49</v>
      </c>
      <c r="K2" s="7">
        <v>46138</v>
      </c>
      <c r="L2" s="6" t="str">
        <f>B2&amp;C2&amp;D2&amp;E2</f>
        <v>AcoplamentoMediação explícita do Controller nos fluxos de leituraController.cs / arquitecturaOs fluxos principais devem passar explicitamente pelo Controller</v>
      </c>
    </row>
    <row r="3" spans="1:12" ht="90" x14ac:dyDescent="0.25">
      <c r="A3" s="6">
        <f>_xlfn.XLOOKUP(L3,CheckT3_20260419!L:L,CheckT3_20260419!A:A)</f>
        <v>17</v>
      </c>
      <c r="B3" s="6" t="s">
        <v>50</v>
      </c>
      <c r="C3" s="6" t="s">
        <v>104</v>
      </c>
      <c r="D3" s="6" t="s">
        <v>105</v>
      </c>
      <c r="E3" s="6" t="s">
        <v>106</v>
      </c>
      <c r="F3" s="6" t="s">
        <v>51</v>
      </c>
      <c r="G3" s="6" t="s">
        <v>193</v>
      </c>
      <c r="H3" s="6" t="s">
        <v>194</v>
      </c>
      <c r="I3" s="6" t="s">
        <v>195</v>
      </c>
      <c r="J3" s="6" t="s">
        <v>49</v>
      </c>
      <c r="K3" s="7">
        <v>46138</v>
      </c>
      <c r="L3" s="6" t="str">
        <f t="shared" ref="L3:L11" si="0">B3&amp;C3&amp;D3&amp;E3</f>
        <v>DocumentaçãoCoerência entre código e diagrama de sequência V5Controller.cs / View.cs / diagrama V5O fluxo implementado deve coincidir com o fluxo documentado</v>
      </c>
    </row>
    <row r="4" spans="1:12" ht="90" x14ac:dyDescent="0.25">
      <c r="A4" s="6">
        <f>_xlfn.XLOOKUP(L4,CheckT3_20260419!L:L,CheckT3_20260419!A:A)</f>
        <v>19</v>
      </c>
      <c r="B4" s="6" t="s">
        <v>52</v>
      </c>
      <c r="C4" s="6" t="s">
        <v>174</v>
      </c>
      <c r="D4" s="6" t="s">
        <v>82</v>
      </c>
      <c r="E4" s="6" t="s">
        <v>175</v>
      </c>
      <c r="F4" s="6" t="s">
        <v>33</v>
      </c>
      <c r="G4" s="6" t="s">
        <v>206</v>
      </c>
      <c r="J4" s="6" t="s">
        <v>34</v>
      </c>
      <c r="K4" s="7">
        <v>46138</v>
      </c>
      <c r="L4" s="6" t="str">
        <f t="shared" si="0"/>
        <v>ImplementaçãoCiclo do menu sem recursão acumuladaController.cs / View.csO fluxo principal não deve acumular chamadas recursivas ao menu</v>
      </c>
    </row>
    <row r="5" spans="1:12" ht="90" x14ac:dyDescent="0.25">
      <c r="A5" s="6">
        <f>_xlfn.XLOOKUP(L5,CheckT3_20260419!L:L,CheckT3_20260419!A:A)</f>
        <v>20</v>
      </c>
      <c r="B5" s="6" t="s">
        <v>52</v>
      </c>
      <c r="C5" s="6" t="s">
        <v>178</v>
      </c>
      <c r="D5" s="6" t="s">
        <v>35</v>
      </c>
      <c r="E5" s="6" t="s">
        <v>179</v>
      </c>
      <c r="F5" s="6" t="s">
        <v>33</v>
      </c>
      <c r="G5" s="6" t="s">
        <v>207</v>
      </c>
      <c r="J5" s="6" t="s">
        <v>34</v>
      </c>
      <c r="K5" s="7">
        <v>46138</v>
      </c>
      <c r="L5" s="6" t="str">
        <f t="shared" si="0"/>
        <v>ImplementaçãoMenu não duplicado em casos de erro de validaçãoController.csEm caso de erro de validação, o menu não deve ser reapresentado duas vezes</v>
      </c>
    </row>
    <row r="6" spans="1:12" ht="90" x14ac:dyDescent="0.25">
      <c r="A6" s="6">
        <f>_xlfn.XLOOKUP(L6,CheckT3_20260419!L:L,CheckT3_20260419!A:A)</f>
        <v>24</v>
      </c>
      <c r="B6" s="6" t="s">
        <v>52</v>
      </c>
      <c r="C6" s="6" t="s">
        <v>123</v>
      </c>
      <c r="D6" s="6" t="s">
        <v>41</v>
      </c>
      <c r="E6" s="6" t="s">
        <v>124</v>
      </c>
      <c r="F6" s="6" t="s">
        <v>33</v>
      </c>
      <c r="G6" s="6" t="s">
        <v>196</v>
      </c>
      <c r="H6" s="6" t="s">
        <v>197</v>
      </c>
      <c r="I6" s="6" t="s">
        <v>208</v>
      </c>
      <c r="J6" s="6" t="s">
        <v>34</v>
      </c>
      <c r="K6" s="7">
        <v>46138</v>
      </c>
      <c r="L6" s="6" t="str">
        <f t="shared" si="0"/>
        <v>ImplementaçãoMétodos de consulta do Model implementadosModel.csSolicitarListaProdutos e SolicitarListaReposicao devem estar funcionais</v>
      </c>
    </row>
    <row r="7" spans="1:12" ht="90" x14ac:dyDescent="0.25">
      <c r="A7" s="6">
        <f>_xlfn.XLOOKUP(L7,CheckT3_20260419!L:L,CheckT3_20260419!A:A)</f>
        <v>25</v>
      </c>
      <c r="B7" s="6" t="s">
        <v>52</v>
      </c>
      <c r="C7" s="6" t="s">
        <v>128</v>
      </c>
      <c r="D7" s="6" t="s">
        <v>41</v>
      </c>
      <c r="E7" s="6" t="s">
        <v>129</v>
      </c>
      <c r="F7" s="6" t="s">
        <v>33</v>
      </c>
      <c r="G7" s="6" t="s">
        <v>198</v>
      </c>
      <c r="H7" s="6" t="s">
        <v>197</v>
      </c>
      <c r="I7" s="6" t="s">
        <v>208</v>
      </c>
      <c r="J7" s="6" t="s">
        <v>34</v>
      </c>
      <c r="K7" s="7">
        <v>46138</v>
      </c>
      <c r="L7" s="6" t="str">
        <f t="shared" si="0"/>
        <v>ImplementaçãoMétodos de lógica de negócio do Model implementadosModel.csRegistarOuAtualizarProduto e RemoverQuantidade devem estar funcionais</v>
      </c>
    </row>
    <row r="8" spans="1:12" ht="75" x14ac:dyDescent="0.25">
      <c r="A8" s="6">
        <f>_xlfn.XLOOKUP(L8,CheckT3_20260419!L:L,CheckT3_20260419!A:A)</f>
        <v>26</v>
      </c>
      <c r="B8" s="6" t="s">
        <v>52</v>
      </c>
      <c r="C8" s="6" t="s">
        <v>132</v>
      </c>
      <c r="D8" s="6" t="s">
        <v>41</v>
      </c>
      <c r="E8" s="6" t="s">
        <v>133</v>
      </c>
      <c r="F8" s="6" t="s">
        <v>33</v>
      </c>
      <c r="G8" s="6" t="s">
        <v>199</v>
      </c>
      <c r="H8" s="6" t="s">
        <v>197</v>
      </c>
      <c r="I8" s="6" t="s">
        <v>208</v>
      </c>
      <c r="J8" s="6" t="s">
        <v>34</v>
      </c>
      <c r="K8" s="7">
        <v>46138</v>
      </c>
      <c r="L8" s="6" t="str">
        <f t="shared" si="0"/>
        <v>ImplementaçãoPersistência JSON implementadaModel.csCarregarDados e GuardarDados devem estar funcionais</v>
      </c>
    </row>
    <row r="9" spans="1:12" ht="120" x14ac:dyDescent="0.25">
      <c r="A9" s="6">
        <f>_xlfn.XLOOKUP(L9,CheckT3_20260419!L:L,CheckT3_20260419!A:A)</f>
        <v>27</v>
      </c>
      <c r="B9" s="6" t="s">
        <v>52</v>
      </c>
      <c r="C9" s="6" t="s">
        <v>137</v>
      </c>
      <c r="D9" s="6" t="s">
        <v>138</v>
      </c>
      <c r="E9" s="6" t="s">
        <v>139</v>
      </c>
      <c r="F9" s="6" t="s">
        <v>33</v>
      </c>
      <c r="G9" s="6" t="s">
        <v>200</v>
      </c>
      <c r="J9" s="6" t="s">
        <v>34</v>
      </c>
      <c r="K9" s="7">
        <v>46138</v>
      </c>
      <c r="L9" s="6" t="str">
        <f t="shared" si="0"/>
        <v>ImplementaçãoDependência da API JSON declarada no projectoGestorStockDomestico.csprojO projecto deve declarar a dependência necessária para Json.NET, se a persistência a usar for mesmo essa</v>
      </c>
    </row>
    <row r="10" spans="1:12" ht="90" x14ac:dyDescent="0.25">
      <c r="A10" s="6">
        <f>_xlfn.XLOOKUP(L10,CheckT3_20260419!L:L,CheckT3_20260419!A:A)</f>
        <v>28</v>
      </c>
      <c r="B10" s="6" t="s">
        <v>52</v>
      </c>
      <c r="C10" s="6" t="s">
        <v>143</v>
      </c>
      <c r="D10" s="6" t="s">
        <v>144</v>
      </c>
      <c r="E10" s="6" t="s">
        <v>145</v>
      </c>
      <c r="F10" s="6" t="s">
        <v>33</v>
      </c>
      <c r="G10" s="6" t="s">
        <v>201</v>
      </c>
      <c r="H10" s="6" t="s">
        <v>202</v>
      </c>
      <c r="I10" s="6" t="s">
        <v>209</v>
      </c>
      <c r="J10" s="6" t="s">
        <v>39</v>
      </c>
      <c r="K10" s="7">
        <v>46138</v>
      </c>
      <c r="L10" s="6" t="str">
        <f t="shared" si="0"/>
        <v>ImplementaçãoPasta de testes preparadatests/README.mdA área de testes deve ter pelo menos estrutura mínima identificada</v>
      </c>
    </row>
    <row r="11" spans="1:12" ht="75" x14ac:dyDescent="0.25">
      <c r="A11" s="6">
        <v>32</v>
      </c>
      <c r="B11" s="6" t="s">
        <v>54</v>
      </c>
      <c r="C11" s="6" t="s">
        <v>61</v>
      </c>
      <c r="D11" s="6" t="s">
        <v>37</v>
      </c>
      <c r="E11" s="6" t="s">
        <v>203</v>
      </c>
      <c r="F11" s="6" t="s">
        <v>33</v>
      </c>
      <c r="G11" s="6" t="s">
        <v>210</v>
      </c>
      <c r="J11" s="6" t="s">
        <v>34</v>
      </c>
      <c r="K11" s="7">
        <v>46138</v>
      </c>
      <c r="L11" s="6" t="str">
        <f t="shared" si="0"/>
        <v>TestesTestabilidade da ViewView.csA View deve manter-se focada em input/output para não dificultar validação posterior.</v>
      </c>
    </row>
  </sheetData>
  <autoFilter ref="B1:K11" xr:uid="{E7F2CFB3-FD0D-43E4-9DF9-DBEFDAAF4C7B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E683-E02E-4C54-A0AA-A6923C10F92D}">
  <dimension ref="A1:L49"/>
  <sheetViews>
    <sheetView topLeftCell="A42" zoomScaleNormal="100" workbookViewId="0">
      <selection activeCell="D48" sqref="D48"/>
    </sheetView>
  </sheetViews>
  <sheetFormatPr defaultColWidth="28" defaultRowHeight="15" x14ac:dyDescent="0.25"/>
  <cols>
    <col min="1" max="1" width="3.85546875" style="6" bestFit="1" customWidth="1"/>
    <col min="2" max="4" width="28" style="6"/>
    <col min="5" max="5" width="34.5703125" style="6" bestFit="1" customWidth="1"/>
    <col min="6" max="6" width="13.7109375" style="6" bestFit="1" customWidth="1"/>
    <col min="7" max="7" width="36.28515625" style="6" bestFit="1" customWidth="1"/>
    <col min="8" max="16384" width="28" style="6"/>
  </cols>
  <sheetData>
    <row r="1" spans="1:12" x14ac:dyDescent="0.25">
      <c r="A1" s="6" t="s">
        <v>204</v>
      </c>
      <c r="B1" s="3" t="s">
        <v>25</v>
      </c>
      <c r="C1" s="3" t="s">
        <v>26</v>
      </c>
      <c r="D1" s="3" t="s">
        <v>27</v>
      </c>
      <c r="E1" s="3" t="s">
        <v>20</v>
      </c>
      <c r="F1" s="3" t="s">
        <v>15</v>
      </c>
      <c r="G1" s="8" t="s">
        <v>28</v>
      </c>
      <c r="H1" s="3" t="s">
        <v>21</v>
      </c>
      <c r="I1" s="3" t="s">
        <v>22</v>
      </c>
      <c r="J1" s="3" t="s">
        <v>23</v>
      </c>
      <c r="K1" s="3" t="s">
        <v>24</v>
      </c>
      <c r="L1" s="3"/>
    </row>
    <row r="2" spans="1:12" ht="60" x14ac:dyDescent="0.25">
      <c r="A2" s="6">
        <v>1</v>
      </c>
      <c r="B2" s="6" t="s">
        <v>29</v>
      </c>
      <c r="C2" s="6" t="s">
        <v>30</v>
      </c>
      <c r="D2" s="6" t="s">
        <v>31</v>
      </c>
      <c r="E2" s="6" t="s">
        <v>32</v>
      </c>
      <c r="F2" s="6" t="s">
        <v>33</v>
      </c>
      <c r="G2" s="6" t="s">
        <v>53</v>
      </c>
      <c r="J2" s="6" t="s">
        <v>34</v>
      </c>
      <c r="K2" s="7">
        <v>46131</v>
      </c>
      <c r="L2" s="6" t="s">
        <v>294</v>
      </c>
    </row>
    <row r="3" spans="1:12" ht="75" x14ac:dyDescent="0.25">
      <c r="A3" s="6">
        <v>2</v>
      </c>
      <c r="B3" s="6" t="s">
        <v>29</v>
      </c>
      <c r="C3" s="6" t="s">
        <v>62</v>
      </c>
      <c r="D3" s="6" t="s">
        <v>35</v>
      </c>
      <c r="E3" s="6" t="s">
        <v>63</v>
      </c>
      <c r="F3" s="6" t="s">
        <v>33</v>
      </c>
      <c r="G3" s="6" t="s">
        <v>64</v>
      </c>
      <c r="J3" s="6" t="s">
        <v>34</v>
      </c>
      <c r="K3" s="7">
        <v>46131</v>
      </c>
      <c r="L3" s="6" t="s">
        <v>295</v>
      </c>
    </row>
    <row r="4" spans="1:12" ht="75" x14ac:dyDescent="0.25">
      <c r="A4" s="6">
        <v>3</v>
      </c>
      <c r="B4" s="6" t="s">
        <v>29</v>
      </c>
      <c r="C4" s="6" t="s">
        <v>65</v>
      </c>
      <c r="D4" s="6" t="s">
        <v>35</v>
      </c>
      <c r="E4" s="6" t="s">
        <v>66</v>
      </c>
      <c r="F4" s="6" t="s">
        <v>33</v>
      </c>
      <c r="G4" s="6" t="s">
        <v>67</v>
      </c>
      <c r="J4" s="6" t="s">
        <v>34</v>
      </c>
      <c r="K4" s="7">
        <v>46131</v>
      </c>
      <c r="L4" s="6" t="s">
        <v>296</v>
      </c>
    </row>
    <row r="5" spans="1:12" ht="45" x14ac:dyDescent="0.25">
      <c r="A5" s="6">
        <v>4</v>
      </c>
      <c r="B5" s="6" t="s">
        <v>29</v>
      </c>
      <c r="C5" s="6" t="s">
        <v>68</v>
      </c>
      <c r="D5" s="6" t="s">
        <v>37</v>
      </c>
      <c r="E5" s="6" t="s">
        <v>69</v>
      </c>
      <c r="F5" s="6" t="s">
        <v>33</v>
      </c>
      <c r="G5" s="6" t="s">
        <v>70</v>
      </c>
      <c r="J5" s="6" t="s">
        <v>34</v>
      </c>
      <c r="K5" s="7">
        <v>46131</v>
      </c>
      <c r="L5" s="6" t="s">
        <v>297</v>
      </c>
    </row>
    <row r="6" spans="1:12" ht="75" x14ac:dyDescent="0.25">
      <c r="A6" s="6">
        <v>5</v>
      </c>
      <c r="B6" s="6" t="s">
        <v>29</v>
      </c>
      <c r="C6" s="6" t="s">
        <v>36</v>
      </c>
      <c r="D6" s="6" t="s">
        <v>37</v>
      </c>
      <c r="E6" s="6" t="s">
        <v>71</v>
      </c>
      <c r="F6" s="6" t="s">
        <v>33</v>
      </c>
      <c r="G6" s="6" t="s">
        <v>72</v>
      </c>
      <c r="J6" s="6" t="s">
        <v>34</v>
      </c>
      <c r="K6" s="7">
        <v>46131</v>
      </c>
      <c r="L6" s="6" t="s">
        <v>298</v>
      </c>
    </row>
    <row r="7" spans="1:12" ht="60" x14ac:dyDescent="0.25">
      <c r="A7" s="6">
        <v>6</v>
      </c>
      <c r="B7" s="6" t="s">
        <v>29</v>
      </c>
      <c r="C7" s="6" t="s">
        <v>40</v>
      </c>
      <c r="D7" s="6" t="s">
        <v>41</v>
      </c>
      <c r="E7" s="6" t="s">
        <v>73</v>
      </c>
      <c r="F7" s="6" t="s">
        <v>33</v>
      </c>
      <c r="G7" s="6" t="s">
        <v>74</v>
      </c>
      <c r="J7" s="6" t="s">
        <v>34</v>
      </c>
      <c r="K7" s="7">
        <v>46131</v>
      </c>
      <c r="L7" s="6" t="s">
        <v>299</v>
      </c>
    </row>
    <row r="8" spans="1:12" ht="60" x14ac:dyDescent="0.25">
      <c r="A8" s="6">
        <v>7</v>
      </c>
      <c r="B8" s="6" t="s">
        <v>29</v>
      </c>
      <c r="C8" s="6" t="s">
        <v>75</v>
      </c>
      <c r="D8" s="6" t="s">
        <v>37</v>
      </c>
      <c r="E8" s="6" t="s">
        <v>76</v>
      </c>
      <c r="F8" s="6" t="s">
        <v>33</v>
      </c>
      <c r="G8" s="6" t="s">
        <v>77</v>
      </c>
      <c r="J8" s="6" t="s">
        <v>34</v>
      </c>
      <c r="K8" s="7">
        <v>46131</v>
      </c>
      <c r="L8" s="6" t="s">
        <v>300</v>
      </c>
    </row>
    <row r="9" spans="1:12" ht="75" x14ac:dyDescent="0.25">
      <c r="A9" s="6">
        <v>8</v>
      </c>
      <c r="B9" s="6" t="s">
        <v>29</v>
      </c>
      <c r="C9" s="6" t="s">
        <v>78</v>
      </c>
      <c r="D9" s="6" t="s">
        <v>35</v>
      </c>
      <c r="E9" s="6" t="s">
        <v>79</v>
      </c>
      <c r="F9" s="6" t="s">
        <v>33</v>
      </c>
      <c r="G9" s="6" t="s">
        <v>186</v>
      </c>
      <c r="J9" s="6" t="s">
        <v>34</v>
      </c>
      <c r="K9" s="7">
        <v>46131</v>
      </c>
      <c r="L9" s="6" t="s">
        <v>301</v>
      </c>
    </row>
    <row r="10" spans="1:12" ht="90" x14ac:dyDescent="0.25">
      <c r="A10" s="6">
        <v>9</v>
      </c>
      <c r="B10" s="6" t="s">
        <v>42</v>
      </c>
      <c r="C10" s="6" t="s">
        <v>43</v>
      </c>
      <c r="D10" s="6" t="s">
        <v>35</v>
      </c>
      <c r="E10" s="6" t="s">
        <v>80</v>
      </c>
      <c r="F10" s="6" t="s">
        <v>33</v>
      </c>
      <c r="G10" s="6" t="s">
        <v>44</v>
      </c>
      <c r="J10" s="6" t="s">
        <v>34</v>
      </c>
      <c r="K10" s="7">
        <v>46131</v>
      </c>
      <c r="L10" s="6" t="s">
        <v>302</v>
      </c>
    </row>
    <row r="11" spans="1:12" ht="105" x14ac:dyDescent="0.25">
      <c r="A11" s="6">
        <v>10</v>
      </c>
      <c r="B11" s="6" t="s">
        <v>42</v>
      </c>
      <c r="C11" s="6" t="s">
        <v>81</v>
      </c>
      <c r="D11" s="6" t="s">
        <v>82</v>
      </c>
      <c r="E11" s="6" t="s">
        <v>83</v>
      </c>
      <c r="F11" s="6" t="s">
        <v>33</v>
      </c>
      <c r="G11" s="6" t="s">
        <v>48</v>
      </c>
      <c r="H11" s="6" t="s">
        <v>187</v>
      </c>
      <c r="I11" s="6" t="s">
        <v>173</v>
      </c>
      <c r="J11" s="6" t="s">
        <v>39</v>
      </c>
      <c r="K11" s="7">
        <v>46131</v>
      </c>
      <c r="L11" s="6" t="s">
        <v>303</v>
      </c>
    </row>
    <row r="12" spans="1:12" ht="75" x14ac:dyDescent="0.25">
      <c r="A12" s="6">
        <v>11</v>
      </c>
      <c r="B12" s="6" t="s">
        <v>42</v>
      </c>
      <c r="C12" s="6" t="s">
        <v>84</v>
      </c>
      <c r="D12" s="6" t="s">
        <v>35</v>
      </c>
      <c r="E12" s="6" t="s">
        <v>85</v>
      </c>
      <c r="F12" s="6" t="s">
        <v>33</v>
      </c>
      <c r="G12" s="6" t="s">
        <v>45</v>
      </c>
      <c r="J12" s="6" t="s">
        <v>34</v>
      </c>
      <c r="K12" s="7">
        <v>46131</v>
      </c>
      <c r="L12" s="6" t="s">
        <v>304</v>
      </c>
    </row>
    <row r="13" spans="1:12" ht="75" x14ac:dyDescent="0.25">
      <c r="A13" s="6">
        <v>12</v>
      </c>
      <c r="B13" s="6" t="s">
        <v>42</v>
      </c>
      <c r="C13" s="6" t="s">
        <v>86</v>
      </c>
      <c r="D13" s="6" t="s">
        <v>37</v>
      </c>
      <c r="E13" s="6" t="s">
        <v>87</v>
      </c>
      <c r="F13" s="6" t="s">
        <v>33</v>
      </c>
      <c r="G13" s="6" t="s">
        <v>88</v>
      </c>
      <c r="J13" s="6" t="s">
        <v>34</v>
      </c>
      <c r="K13" s="7">
        <v>46131</v>
      </c>
      <c r="L13" s="6" t="s">
        <v>305</v>
      </c>
    </row>
    <row r="14" spans="1:12" ht="75" x14ac:dyDescent="0.25">
      <c r="A14" s="6">
        <v>13</v>
      </c>
      <c r="B14" s="6" t="s">
        <v>46</v>
      </c>
      <c r="C14" s="6" t="s">
        <v>89</v>
      </c>
      <c r="D14" s="6" t="s">
        <v>37</v>
      </c>
      <c r="E14" s="6" t="s">
        <v>90</v>
      </c>
      <c r="F14" s="6" t="s">
        <v>33</v>
      </c>
      <c r="G14" s="6" t="s">
        <v>91</v>
      </c>
      <c r="J14" s="6" t="s">
        <v>34</v>
      </c>
      <c r="K14" s="7">
        <v>46131</v>
      </c>
      <c r="L14" s="6" t="s">
        <v>306</v>
      </c>
    </row>
    <row r="15" spans="1:12" ht="90" x14ac:dyDescent="0.25">
      <c r="A15" s="6">
        <v>14</v>
      </c>
      <c r="B15" s="6" t="s">
        <v>46</v>
      </c>
      <c r="C15" s="6" t="s">
        <v>92</v>
      </c>
      <c r="D15" s="6" t="s">
        <v>41</v>
      </c>
      <c r="E15" s="6" t="s">
        <v>93</v>
      </c>
      <c r="F15" s="6" t="s">
        <v>33</v>
      </c>
      <c r="G15" s="6" t="s">
        <v>94</v>
      </c>
      <c r="J15" s="6" t="s">
        <v>34</v>
      </c>
      <c r="K15" s="7">
        <v>46131</v>
      </c>
      <c r="L15" s="6" t="s">
        <v>307</v>
      </c>
    </row>
    <row r="16" spans="1:12" ht="105" x14ac:dyDescent="0.25">
      <c r="A16" s="6">
        <v>15</v>
      </c>
      <c r="B16" s="6" t="s">
        <v>46</v>
      </c>
      <c r="C16" s="6" t="s">
        <v>95</v>
      </c>
      <c r="D16" s="6" t="s">
        <v>47</v>
      </c>
      <c r="E16" s="6" t="s">
        <v>96</v>
      </c>
      <c r="F16" s="6" t="s">
        <v>38</v>
      </c>
      <c r="G16" s="6" t="s">
        <v>205</v>
      </c>
      <c r="H16" s="6" t="s">
        <v>191</v>
      </c>
      <c r="I16" s="6" t="s">
        <v>192</v>
      </c>
      <c r="J16" s="6" t="s">
        <v>49</v>
      </c>
      <c r="K16" s="7">
        <v>46138</v>
      </c>
      <c r="L16" s="6" t="s">
        <v>308</v>
      </c>
    </row>
    <row r="17" spans="1:12" ht="90" x14ac:dyDescent="0.25">
      <c r="A17" s="6">
        <v>16</v>
      </c>
      <c r="B17" s="6" t="s">
        <v>50</v>
      </c>
      <c r="C17" s="6" t="s">
        <v>100</v>
      </c>
      <c r="D17" s="6" t="s">
        <v>101</v>
      </c>
      <c r="E17" s="6" t="s">
        <v>102</v>
      </c>
      <c r="F17" s="6" t="s">
        <v>33</v>
      </c>
      <c r="G17" s="6" t="s">
        <v>103</v>
      </c>
      <c r="J17" s="6" t="s">
        <v>34</v>
      </c>
      <c r="K17" s="7">
        <v>46131</v>
      </c>
      <c r="L17" s="6" t="s">
        <v>309</v>
      </c>
    </row>
    <row r="18" spans="1:12" ht="90" x14ac:dyDescent="0.25">
      <c r="A18" s="6">
        <v>17</v>
      </c>
      <c r="B18" s="6" t="s">
        <v>50</v>
      </c>
      <c r="C18" s="6" t="s">
        <v>104</v>
      </c>
      <c r="D18" s="6" t="s">
        <v>105</v>
      </c>
      <c r="E18" s="6" t="s">
        <v>106</v>
      </c>
      <c r="F18" s="6" t="s">
        <v>51</v>
      </c>
      <c r="G18" s="6" t="s">
        <v>193</v>
      </c>
      <c r="H18" s="6" t="s">
        <v>194</v>
      </c>
      <c r="I18" s="6" t="s">
        <v>195</v>
      </c>
      <c r="J18" s="6" t="s">
        <v>49</v>
      </c>
      <c r="K18" s="7">
        <v>46138</v>
      </c>
      <c r="L18" s="6" t="s">
        <v>310</v>
      </c>
    </row>
    <row r="19" spans="1:12" ht="105" x14ac:dyDescent="0.25">
      <c r="A19" s="6">
        <v>18</v>
      </c>
      <c r="B19" s="6" t="s">
        <v>52</v>
      </c>
      <c r="C19" s="6" t="s">
        <v>110</v>
      </c>
      <c r="D19" s="6" t="s">
        <v>35</v>
      </c>
      <c r="E19" s="6" t="s">
        <v>111</v>
      </c>
      <c r="F19" s="6" t="s">
        <v>33</v>
      </c>
      <c r="G19" s="6" t="s">
        <v>112</v>
      </c>
      <c r="H19" s="6" t="s">
        <v>188</v>
      </c>
      <c r="I19" s="6" t="s">
        <v>189</v>
      </c>
      <c r="J19" s="6" t="s">
        <v>39</v>
      </c>
      <c r="K19" s="7">
        <v>46131</v>
      </c>
      <c r="L19" s="6" t="s">
        <v>311</v>
      </c>
    </row>
    <row r="20" spans="1:12" ht="90" x14ac:dyDescent="0.25">
      <c r="A20" s="6">
        <v>19</v>
      </c>
      <c r="B20" s="6" t="s">
        <v>52</v>
      </c>
      <c r="C20" s="6" t="s">
        <v>174</v>
      </c>
      <c r="D20" s="6" t="s">
        <v>82</v>
      </c>
      <c r="E20" s="6" t="s">
        <v>175</v>
      </c>
      <c r="F20" s="6" t="s">
        <v>33</v>
      </c>
      <c r="G20" s="6" t="s">
        <v>206</v>
      </c>
      <c r="J20" s="6" t="s">
        <v>34</v>
      </c>
      <c r="K20" s="7">
        <v>46138</v>
      </c>
      <c r="L20" s="6" t="s">
        <v>312</v>
      </c>
    </row>
    <row r="21" spans="1:12" ht="90" x14ac:dyDescent="0.25">
      <c r="A21" s="6">
        <v>20</v>
      </c>
      <c r="B21" s="6" t="s">
        <v>52</v>
      </c>
      <c r="C21" s="6" t="s">
        <v>178</v>
      </c>
      <c r="D21" s="6" t="s">
        <v>35</v>
      </c>
      <c r="E21" s="6" t="s">
        <v>179</v>
      </c>
      <c r="F21" s="6" t="s">
        <v>33</v>
      </c>
      <c r="G21" s="6" t="s">
        <v>207</v>
      </c>
      <c r="J21" s="6" t="s">
        <v>34</v>
      </c>
      <c r="K21" s="7">
        <v>46138</v>
      </c>
      <c r="L21" s="6" t="s">
        <v>313</v>
      </c>
    </row>
    <row r="22" spans="1:12" ht="90" x14ac:dyDescent="0.25">
      <c r="A22" s="6">
        <v>21</v>
      </c>
      <c r="B22" s="6" t="s">
        <v>52</v>
      </c>
      <c r="C22" s="6" t="s">
        <v>113</v>
      </c>
      <c r="D22" s="6" t="s">
        <v>37</v>
      </c>
      <c r="E22" s="6" t="s">
        <v>114</v>
      </c>
      <c r="F22" s="6" t="s">
        <v>33</v>
      </c>
      <c r="G22" s="6" t="s">
        <v>115</v>
      </c>
      <c r="J22" s="6" t="s">
        <v>34</v>
      </c>
      <c r="K22" s="7">
        <v>46131</v>
      </c>
      <c r="L22" s="6" t="s">
        <v>314</v>
      </c>
    </row>
    <row r="23" spans="1:12" ht="60" x14ac:dyDescent="0.25">
      <c r="A23" s="6">
        <v>22</v>
      </c>
      <c r="B23" s="6" t="s">
        <v>52</v>
      </c>
      <c r="C23" s="6" t="s">
        <v>116</v>
      </c>
      <c r="D23" s="6" t="s">
        <v>37</v>
      </c>
      <c r="E23" s="6" t="s">
        <v>117</v>
      </c>
      <c r="F23" s="6" t="s">
        <v>33</v>
      </c>
      <c r="G23" s="6" t="s">
        <v>118</v>
      </c>
      <c r="J23" s="6" t="s">
        <v>34</v>
      </c>
      <c r="K23" s="7">
        <v>46131</v>
      </c>
      <c r="L23" s="6" t="s">
        <v>315</v>
      </c>
    </row>
    <row r="24" spans="1:12" ht="75" x14ac:dyDescent="0.25">
      <c r="A24" s="6">
        <v>23</v>
      </c>
      <c r="B24" s="6" t="s">
        <v>52</v>
      </c>
      <c r="C24" s="6" t="s">
        <v>119</v>
      </c>
      <c r="D24" s="6" t="s">
        <v>120</v>
      </c>
      <c r="E24" s="6" t="s">
        <v>121</v>
      </c>
      <c r="F24" s="6" t="s">
        <v>33</v>
      </c>
      <c r="G24" s="6" t="s">
        <v>122</v>
      </c>
      <c r="J24" s="6" t="s">
        <v>34</v>
      </c>
      <c r="K24" s="7">
        <v>46131</v>
      </c>
      <c r="L24" s="6" t="s">
        <v>316</v>
      </c>
    </row>
    <row r="25" spans="1:12" ht="90" x14ac:dyDescent="0.25">
      <c r="A25" s="6">
        <v>24</v>
      </c>
      <c r="B25" s="6" t="s">
        <v>52</v>
      </c>
      <c r="C25" s="6" t="s">
        <v>123</v>
      </c>
      <c r="D25" s="6" t="s">
        <v>41</v>
      </c>
      <c r="E25" s="6" t="s">
        <v>124</v>
      </c>
      <c r="F25" s="6" t="s">
        <v>33</v>
      </c>
      <c r="G25" s="6" t="s">
        <v>196</v>
      </c>
      <c r="H25" s="6" t="s">
        <v>197</v>
      </c>
      <c r="I25" s="6" t="s">
        <v>208</v>
      </c>
      <c r="J25" s="6" t="s">
        <v>34</v>
      </c>
      <c r="K25" s="7">
        <v>46138</v>
      </c>
      <c r="L25" s="6" t="s">
        <v>317</v>
      </c>
    </row>
    <row r="26" spans="1:12" ht="90" x14ac:dyDescent="0.25">
      <c r="A26" s="6">
        <v>25</v>
      </c>
      <c r="B26" s="6" t="s">
        <v>52</v>
      </c>
      <c r="C26" s="6" t="s">
        <v>128</v>
      </c>
      <c r="D26" s="6" t="s">
        <v>41</v>
      </c>
      <c r="E26" s="6" t="s">
        <v>129</v>
      </c>
      <c r="F26" s="6" t="s">
        <v>33</v>
      </c>
      <c r="G26" s="6" t="s">
        <v>198</v>
      </c>
      <c r="H26" s="6" t="s">
        <v>197</v>
      </c>
      <c r="I26" s="6" t="s">
        <v>208</v>
      </c>
      <c r="J26" s="6" t="s">
        <v>34</v>
      </c>
      <c r="K26" s="7">
        <v>46138</v>
      </c>
      <c r="L26" s="6" t="s">
        <v>318</v>
      </c>
    </row>
    <row r="27" spans="1:12" ht="75" x14ac:dyDescent="0.25">
      <c r="A27" s="6">
        <v>26</v>
      </c>
      <c r="B27" s="6" t="s">
        <v>52</v>
      </c>
      <c r="C27" s="6" t="s">
        <v>132</v>
      </c>
      <c r="D27" s="6" t="s">
        <v>41</v>
      </c>
      <c r="E27" s="6" t="s">
        <v>133</v>
      </c>
      <c r="F27" s="6" t="s">
        <v>33</v>
      </c>
      <c r="G27" s="6" t="s">
        <v>199</v>
      </c>
      <c r="H27" s="6" t="s">
        <v>197</v>
      </c>
      <c r="I27" s="6" t="s">
        <v>208</v>
      </c>
      <c r="J27" s="6" t="s">
        <v>34</v>
      </c>
      <c r="K27" s="7">
        <v>46138</v>
      </c>
      <c r="L27" s="6" t="s">
        <v>319</v>
      </c>
    </row>
    <row r="28" spans="1:12" ht="120" x14ac:dyDescent="0.25">
      <c r="A28" s="6">
        <v>27</v>
      </c>
      <c r="B28" s="6" t="s">
        <v>52</v>
      </c>
      <c r="C28" s="6" t="s">
        <v>137</v>
      </c>
      <c r="D28" s="6" t="s">
        <v>138</v>
      </c>
      <c r="E28" s="6" t="s">
        <v>139</v>
      </c>
      <c r="F28" s="6" t="s">
        <v>33</v>
      </c>
      <c r="G28" s="6" t="s">
        <v>200</v>
      </c>
      <c r="J28" s="6" t="s">
        <v>34</v>
      </c>
      <c r="K28" s="7">
        <v>46138</v>
      </c>
      <c r="L28" s="6" t="s">
        <v>320</v>
      </c>
    </row>
    <row r="29" spans="1:12" ht="90" x14ac:dyDescent="0.25">
      <c r="A29" s="6">
        <v>28</v>
      </c>
      <c r="B29" s="6" t="s">
        <v>52</v>
      </c>
      <c r="C29" s="6" t="s">
        <v>143</v>
      </c>
      <c r="D29" s="6" t="s">
        <v>144</v>
      </c>
      <c r="E29" s="6" t="s">
        <v>145</v>
      </c>
      <c r="F29" s="6" t="s">
        <v>33</v>
      </c>
      <c r="G29" s="6" t="s">
        <v>201</v>
      </c>
      <c r="H29" s="6" t="s">
        <v>202</v>
      </c>
      <c r="I29" s="6" t="s">
        <v>209</v>
      </c>
      <c r="J29" s="6" t="s">
        <v>39</v>
      </c>
      <c r="K29" s="7">
        <v>46138</v>
      </c>
      <c r="L29" s="6" t="s">
        <v>321</v>
      </c>
    </row>
    <row r="30" spans="1:12" ht="75" x14ac:dyDescent="0.25">
      <c r="A30" s="6">
        <v>29</v>
      </c>
      <c r="B30" s="6" t="s">
        <v>54</v>
      </c>
      <c r="C30" s="6" t="s">
        <v>55</v>
      </c>
      <c r="D30" s="6" t="s">
        <v>56</v>
      </c>
      <c r="E30" s="6" t="s">
        <v>149</v>
      </c>
      <c r="F30" s="6" t="s">
        <v>57</v>
      </c>
      <c r="G30" s="6" t="s">
        <v>150</v>
      </c>
      <c r="H30" s="6" t="s">
        <v>151</v>
      </c>
      <c r="I30" s="6" t="s">
        <v>152</v>
      </c>
      <c r="J30" s="6" t="s">
        <v>39</v>
      </c>
      <c r="K30" s="7">
        <v>46131</v>
      </c>
      <c r="L30" s="6" t="s">
        <v>322</v>
      </c>
    </row>
    <row r="31" spans="1:12" ht="75" x14ac:dyDescent="0.25">
      <c r="A31" s="6">
        <v>30</v>
      </c>
      <c r="B31" s="6" t="s">
        <v>54</v>
      </c>
      <c r="C31" s="6" t="s">
        <v>153</v>
      </c>
      <c r="D31" s="6" t="s">
        <v>183</v>
      </c>
      <c r="E31" s="6" t="s">
        <v>154</v>
      </c>
      <c r="F31" s="6" t="s">
        <v>58</v>
      </c>
      <c r="G31" s="6" t="s">
        <v>184</v>
      </c>
      <c r="H31" s="6" t="s">
        <v>185</v>
      </c>
      <c r="I31" s="6" t="s">
        <v>155</v>
      </c>
      <c r="J31" s="6" t="s">
        <v>39</v>
      </c>
      <c r="K31" s="7">
        <v>46131</v>
      </c>
      <c r="L31" s="6" t="s">
        <v>323</v>
      </c>
    </row>
    <row r="32" spans="1:12" ht="75" x14ac:dyDescent="0.25">
      <c r="A32" s="6">
        <v>31</v>
      </c>
      <c r="B32" s="6" t="s">
        <v>54</v>
      </c>
      <c r="C32" s="6" t="s">
        <v>156</v>
      </c>
      <c r="D32" s="6" t="s">
        <v>183</v>
      </c>
      <c r="E32" s="6" t="s">
        <v>157</v>
      </c>
      <c r="F32" s="6" t="s">
        <v>58</v>
      </c>
      <c r="G32" s="6" t="s">
        <v>158</v>
      </c>
      <c r="H32" s="6" t="s">
        <v>159</v>
      </c>
      <c r="I32" s="6" t="s">
        <v>160</v>
      </c>
      <c r="J32" s="6" t="s">
        <v>39</v>
      </c>
      <c r="K32" s="7">
        <v>46131</v>
      </c>
      <c r="L32" s="6" t="s">
        <v>324</v>
      </c>
    </row>
    <row r="33" spans="1:12" ht="75" x14ac:dyDescent="0.25">
      <c r="A33" s="6">
        <v>32</v>
      </c>
      <c r="B33" s="6" t="s">
        <v>54</v>
      </c>
      <c r="C33" s="6" t="s">
        <v>61</v>
      </c>
      <c r="D33" s="6" t="s">
        <v>37</v>
      </c>
      <c r="E33" s="6" t="s">
        <v>203</v>
      </c>
      <c r="F33" s="6" t="s">
        <v>33</v>
      </c>
      <c r="G33" s="6" t="s">
        <v>210</v>
      </c>
      <c r="J33" s="6" t="s">
        <v>34</v>
      </c>
      <c r="K33" s="7">
        <v>46138</v>
      </c>
      <c r="L33" s="6" t="s">
        <v>325</v>
      </c>
    </row>
    <row r="34" spans="1:12" ht="75" x14ac:dyDescent="0.25">
      <c r="A34" s="6">
        <v>33</v>
      </c>
      <c r="B34" s="6" t="s">
        <v>54</v>
      </c>
      <c r="C34" s="6" t="s">
        <v>59</v>
      </c>
      <c r="D34" s="6" t="s">
        <v>56</v>
      </c>
      <c r="E34" s="6" t="s">
        <v>165</v>
      </c>
      <c r="F34" s="6" t="s">
        <v>57</v>
      </c>
      <c r="G34" s="6" t="s">
        <v>166</v>
      </c>
      <c r="H34" s="6" t="s">
        <v>167</v>
      </c>
      <c r="I34" s="6" t="s">
        <v>168</v>
      </c>
      <c r="J34" s="6" t="s">
        <v>39</v>
      </c>
      <c r="K34" s="7">
        <v>46131</v>
      </c>
      <c r="L34" s="6" t="s">
        <v>326</v>
      </c>
    </row>
    <row r="35" spans="1:12" ht="75" x14ac:dyDescent="0.25">
      <c r="A35" s="6">
        <v>34</v>
      </c>
      <c r="B35" s="6" t="s">
        <v>54</v>
      </c>
      <c r="C35" s="6" t="s">
        <v>60</v>
      </c>
      <c r="D35" s="6" t="s">
        <v>183</v>
      </c>
      <c r="E35" s="6" t="s">
        <v>169</v>
      </c>
      <c r="F35" s="6" t="s">
        <v>58</v>
      </c>
      <c r="G35" s="6" t="s">
        <v>170</v>
      </c>
      <c r="H35" s="6" t="s">
        <v>171</v>
      </c>
      <c r="I35" s="6" t="s">
        <v>172</v>
      </c>
      <c r="J35" s="6" t="s">
        <v>39</v>
      </c>
      <c r="K35" s="7">
        <v>46131</v>
      </c>
      <c r="L35" s="6" t="s">
        <v>327</v>
      </c>
    </row>
    <row r="36" spans="1:12" ht="45" x14ac:dyDescent="0.25">
      <c r="A36" s="6">
        <v>35</v>
      </c>
      <c r="B36" s="6" t="s">
        <v>54</v>
      </c>
      <c r="C36" s="6" t="s">
        <v>241</v>
      </c>
      <c r="D36" s="6" t="s">
        <v>242</v>
      </c>
      <c r="E36" s="6" t="s">
        <v>243</v>
      </c>
      <c r="K36" s="7"/>
    </row>
    <row r="37" spans="1:12" ht="45" x14ac:dyDescent="0.25">
      <c r="A37" s="6">
        <v>36</v>
      </c>
      <c r="B37" s="6" t="s">
        <v>54</v>
      </c>
      <c r="C37" s="6" t="s">
        <v>244</v>
      </c>
      <c r="D37" s="6" t="s">
        <v>245</v>
      </c>
      <c r="E37" s="6" t="s">
        <v>246</v>
      </c>
      <c r="K37" s="7"/>
    </row>
    <row r="38" spans="1:12" ht="45" x14ac:dyDescent="0.25">
      <c r="A38" s="6">
        <v>37</v>
      </c>
      <c r="B38" s="6" t="s">
        <v>54</v>
      </c>
      <c r="C38" s="6" t="s">
        <v>247</v>
      </c>
      <c r="D38" s="6" t="s">
        <v>248</v>
      </c>
      <c r="E38" s="6" t="s">
        <v>249</v>
      </c>
      <c r="K38" s="7"/>
    </row>
    <row r="39" spans="1:12" ht="30" x14ac:dyDescent="0.25">
      <c r="A39" s="6">
        <v>38</v>
      </c>
      <c r="B39" s="6" t="s">
        <v>54</v>
      </c>
      <c r="C39" s="6" t="s">
        <v>250</v>
      </c>
      <c r="D39" s="6" t="s">
        <v>251</v>
      </c>
      <c r="E39" s="6" t="s">
        <v>252</v>
      </c>
    </row>
    <row r="40" spans="1:12" ht="45" x14ac:dyDescent="0.25">
      <c r="A40" s="6">
        <v>39</v>
      </c>
      <c r="B40" s="6" t="s">
        <v>54</v>
      </c>
      <c r="C40" s="6" t="s">
        <v>253</v>
      </c>
      <c r="D40" s="6" t="s">
        <v>254</v>
      </c>
      <c r="E40" s="6" t="s">
        <v>255</v>
      </c>
      <c r="F40" s="6" t="s">
        <v>57</v>
      </c>
      <c r="G40" s="6" t="s">
        <v>256</v>
      </c>
    </row>
    <row r="41" spans="1:12" ht="45" x14ac:dyDescent="0.25">
      <c r="A41" s="6">
        <v>40</v>
      </c>
      <c r="B41" s="6" t="s">
        <v>257</v>
      </c>
      <c r="C41" s="6" t="s">
        <v>258</v>
      </c>
      <c r="D41" s="6" t="s">
        <v>254</v>
      </c>
      <c r="E41" s="6" t="s">
        <v>259</v>
      </c>
      <c r="F41" s="6" t="s">
        <v>57</v>
      </c>
      <c r="G41" s="6" t="s">
        <v>260</v>
      </c>
    </row>
    <row r="42" spans="1:12" ht="45" x14ac:dyDescent="0.25">
      <c r="A42" s="6">
        <v>41</v>
      </c>
      <c r="B42" s="6" t="s">
        <v>54</v>
      </c>
      <c r="C42" s="6" t="s">
        <v>261</v>
      </c>
      <c r="D42" s="6" t="s">
        <v>262</v>
      </c>
      <c r="E42" s="6" t="s">
        <v>263</v>
      </c>
      <c r="F42" s="6" t="s">
        <v>58</v>
      </c>
      <c r="G42" s="6" t="s">
        <v>264</v>
      </c>
      <c r="H42" s="6" t="s">
        <v>265</v>
      </c>
      <c r="I42" s="6" t="s">
        <v>266</v>
      </c>
      <c r="J42" s="6" t="s">
        <v>39</v>
      </c>
      <c r="K42" s="6">
        <v>46140</v>
      </c>
    </row>
    <row r="43" spans="1:12" ht="45" x14ac:dyDescent="0.25">
      <c r="A43" s="6">
        <v>42</v>
      </c>
      <c r="B43" s="6" t="s">
        <v>54</v>
      </c>
      <c r="C43" s="6" t="s">
        <v>153</v>
      </c>
      <c r="D43" s="6" t="s">
        <v>267</v>
      </c>
      <c r="E43" s="6" t="s">
        <v>268</v>
      </c>
      <c r="F43" s="6" t="s">
        <v>58</v>
      </c>
      <c r="G43" s="6" t="s">
        <v>269</v>
      </c>
      <c r="H43" s="6" t="s">
        <v>270</v>
      </c>
      <c r="I43" s="6" t="s">
        <v>271</v>
      </c>
    </row>
    <row r="44" spans="1:12" ht="45" x14ac:dyDescent="0.25">
      <c r="A44" s="6">
        <v>43</v>
      </c>
      <c r="B44" s="6" t="s">
        <v>54</v>
      </c>
      <c r="C44" s="6" t="s">
        <v>156</v>
      </c>
      <c r="D44" s="6" t="s">
        <v>272</v>
      </c>
      <c r="E44" s="6" t="s">
        <v>273</v>
      </c>
      <c r="F44" s="6" t="s">
        <v>58</v>
      </c>
      <c r="G44" s="6" t="s">
        <v>274</v>
      </c>
      <c r="H44" s="6" t="s">
        <v>275</v>
      </c>
      <c r="I44" s="6" t="s">
        <v>276</v>
      </c>
    </row>
    <row r="45" spans="1:12" ht="45" x14ac:dyDescent="0.25">
      <c r="A45" s="6">
        <v>44</v>
      </c>
      <c r="B45" s="6" t="s">
        <v>54</v>
      </c>
      <c r="C45" s="6" t="s">
        <v>277</v>
      </c>
      <c r="D45" s="6" t="s">
        <v>183</v>
      </c>
      <c r="E45" s="6" t="s">
        <v>278</v>
      </c>
      <c r="F45" s="6" t="s">
        <v>38</v>
      </c>
      <c r="G45" s="6" t="s">
        <v>279</v>
      </c>
    </row>
    <row r="46" spans="1:12" ht="45" x14ac:dyDescent="0.25">
      <c r="A46" s="6">
        <v>45</v>
      </c>
      <c r="B46" s="6" t="s">
        <v>257</v>
      </c>
      <c r="C46" s="6" t="s">
        <v>280</v>
      </c>
      <c r="D46" s="6" t="s">
        <v>183</v>
      </c>
      <c r="E46" s="6" t="s">
        <v>281</v>
      </c>
      <c r="F46" s="6" t="s">
        <v>38</v>
      </c>
      <c r="G46" s="6" t="s">
        <v>282</v>
      </c>
    </row>
    <row r="47" spans="1:12" ht="75" x14ac:dyDescent="0.25">
      <c r="A47" s="6">
        <v>46</v>
      </c>
      <c r="B47" s="6" t="s">
        <v>257</v>
      </c>
      <c r="C47" s="6" t="s">
        <v>283</v>
      </c>
      <c r="D47" s="6" t="s">
        <v>284</v>
      </c>
      <c r="E47" s="6" t="s">
        <v>285</v>
      </c>
      <c r="F47" s="6" t="s">
        <v>38</v>
      </c>
      <c r="G47" s="6" t="s">
        <v>286</v>
      </c>
      <c r="H47" s="6" t="s">
        <v>287</v>
      </c>
      <c r="I47" s="6" t="s">
        <v>288</v>
      </c>
      <c r="J47" s="6" t="s">
        <v>39</v>
      </c>
      <c r="K47" s="6">
        <v>46140</v>
      </c>
    </row>
    <row r="48" spans="1:12" ht="30" x14ac:dyDescent="0.25">
      <c r="A48" s="6">
        <v>47</v>
      </c>
      <c r="B48" s="6" t="s">
        <v>50</v>
      </c>
      <c r="C48" s="6" t="s">
        <v>289</v>
      </c>
    </row>
    <row r="49" spans="1:7" ht="60" x14ac:dyDescent="0.25">
      <c r="A49" s="6">
        <v>48</v>
      </c>
      <c r="B49" s="6" t="s">
        <v>54</v>
      </c>
      <c r="C49" s="6" t="s">
        <v>290</v>
      </c>
      <c r="D49" s="6" t="s">
        <v>291</v>
      </c>
      <c r="E49" s="6" t="s">
        <v>292</v>
      </c>
      <c r="F49" s="6" t="s">
        <v>38</v>
      </c>
      <c r="G49" s="6" t="s">
        <v>293</v>
      </c>
    </row>
  </sheetData>
  <autoFilter ref="B1:K11" xr:uid="{E7F2CFB3-FD0D-43E4-9DF9-DBEFDAAF4C7B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F1FE1-C94C-4884-A511-2881E79A94A6}">
  <dimension ref="A1:K49"/>
  <sheetViews>
    <sheetView topLeftCell="A20" workbookViewId="0">
      <selection activeCell="K16" sqref="K16"/>
    </sheetView>
  </sheetViews>
  <sheetFormatPr defaultColWidth="24.42578125" defaultRowHeight="15" x14ac:dyDescent="0.25"/>
  <cols>
    <col min="1" max="16384" width="24.42578125" style="6"/>
  </cols>
  <sheetData>
    <row r="1" spans="1:11" x14ac:dyDescent="0.25">
      <c r="A1" s="6" t="s">
        <v>204</v>
      </c>
      <c r="B1" s="6" t="s">
        <v>25</v>
      </c>
      <c r="C1" s="6" t="s">
        <v>26</v>
      </c>
      <c r="D1" s="6" t="s">
        <v>27</v>
      </c>
      <c r="E1" s="6" t="s">
        <v>20</v>
      </c>
      <c r="F1" s="6" t="s">
        <v>15</v>
      </c>
      <c r="G1" s="6" t="s">
        <v>28</v>
      </c>
      <c r="H1" s="6" t="s">
        <v>21</v>
      </c>
      <c r="I1" s="6" t="s">
        <v>22</v>
      </c>
      <c r="J1" s="6" t="s">
        <v>23</v>
      </c>
      <c r="K1" s="6" t="s">
        <v>24</v>
      </c>
    </row>
    <row r="2" spans="1:11" ht="60" x14ac:dyDescent="0.25">
      <c r="A2" s="6">
        <v>1</v>
      </c>
      <c r="B2" s="6" t="s">
        <v>29</v>
      </c>
      <c r="C2" s="6" t="s">
        <v>30</v>
      </c>
      <c r="D2" s="6" t="s">
        <v>31</v>
      </c>
      <c r="E2" s="6" t="s">
        <v>32</v>
      </c>
      <c r="F2" s="6" t="s">
        <v>33</v>
      </c>
      <c r="G2" s="6" t="s">
        <v>53</v>
      </c>
      <c r="J2" s="6" t="s">
        <v>34</v>
      </c>
      <c r="K2" s="7">
        <v>46131</v>
      </c>
    </row>
    <row r="3" spans="1:11" ht="45" x14ac:dyDescent="0.25">
      <c r="A3" s="6">
        <v>2</v>
      </c>
      <c r="B3" s="6" t="s">
        <v>29</v>
      </c>
      <c r="C3" s="6" t="s">
        <v>62</v>
      </c>
      <c r="D3" s="6" t="s">
        <v>35</v>
      </c>
      <c r="E3" s="6" t="s">
        <v>63</v>
      </c>
      <c r="F3" s="6" t="s">
        <v>33</v>
      </c>
      <c r="G3" s="6" t="s">
        <v>64</v>
      </c>
      <c r="J3" s="6" t="s">
        <v>34</v>
      </c>
      <c r="K3" s="7">
        <v>46131</v>
      </c>
    </row>
    <row r="4" spans="1:11" ht="45" x14ac:dyDescent="0.25">
      <c r="A4" s="6">
        <v>3</v>
      </c>
      <c r="B4" s="6" t="s">
        <v>29</v>
      </c>
      <c r="C4" s="6" t="s">
        <v>65</v>
      </c>
      <c r="D4" s="6" t="s">
        <v>35</v>
      </c>
      <c r="E4" s="6" t="s">
        <v>66</v>
      </c>
      <c r="F4" s="6" t="s">
        <v>33</v>
      </c>
      <c r="G4" s="6" t="s">
        <v>223</v>
      </c>
    </row>
    <row r="5" spans="1:11" ht="30" x14ac:dyDescent="0.25">
      <c r="A5" s="6">
        <v>4</v>
      </c>
      <c r="B5" s="6" t="s">
        <v>29</v>
      </c>
      <c r="C5" s="6" t="s">
        <v>68</v>
      </c>
      <c r="D5" s="6" t="s">
        <v>37</v>
      </c>
      <c r="E5" s="6" t="s">
        <v>69</v>
      </c>
      <c r="F5" s="6" t="s">
        <v>33</v>
      </c>
      <c r="G5" s="6" t="s">
        <v>224</v>
      </c>
    </row>
    <row r="6" spans="1:11" ht="60" x14ac:dyDescent="0.25">
      <c r="A6" s="6">
        <v>5</v>
      </c>
      <c r="B6" s="6" t="s">
        <v>29</v>
      </c>
      <c r="C6" s="6" t="s">
        <v>36</v>
      </c>
      <c r="D6" s="6" t="s">
        <v>37</v>
      </c>
      <c r="E6" s="6" t="s">
        <v>71</v>
      </c>
      <c r="F6" s="6" t="s">
        <v>33</v>
      </c>
      <c r="G6" s="6" t="s">
        <v>72</v>
      </c>
      <c r="J6" s="6" t="s">
        <v>34</v>
      </c>
      <c r="K6" s="7">
        <v>46131</v>
      </c>
    </row>
    <row r="7" spans="1:11" ht="45" x14ac:dyDescent="0.25">
      <c r="A7" s="6">
        <v>6</v>
      </c>
      <c r="B7" s="6" t="s">
        <v>29</v>
      </c>
      <c r="C7" s="6" t="s">
        <v>40</v>
      </c>
      <c r="D7" s="6" t="s">
        <v>41</v>
      </c>
      <c r="E7" s="6" t="s">
        <v>73</v>
      </c>
      <c r="F7" s="6" t="s">
        <v>33</v>
      </c>
      <c r="G7" s="6" t="s">
        <v>74</v>
      </c>
      <c r="J7" s="6" t="s">
        <v>34</v>
      </c>
      <c r="K7" s="7">
        <v>46131</v>
      </c>
    </row>
    <row r="8" spans="1:11" ht="30" x14ac:dyDescent="0.25">
      <c r="A8" s="6">
        <v>7</v>
      </c>
      <c r="B8" s="6" t="s">
        <v>29</v>
      </c>
      <c r="C8" s="6" t="s">
        <v>75</v>
      </c>
      <c r="D8" s="6" t="s">
        <v>37</v>
      </c>
      <c r="E8" s="6" t="s">
        <v>76</v>
      </c>
      <c r="F8" s="6" t="s">
        <v>33</v>
      </c>
      <c r="G8" s="6" t="s">
        <v>225</v>
      </c>
      <c r="K8" s="7">
        <v>46131</v>
      </c>
    </row>
    <row r="9" spans="1:11" ht="45" x14ac:dyDescent="0.25">
      <c r="A9" s="6">
        <v>8</v>
      </c>
      <c r="B9" s="6" t="s">
        <v>29</v>
      </c>
      <c r="C9" s="6" t="s">
        <v>78</v>
      </c>
      <c r="D9" s="6" t="s">
        <v>35</v>
      </c>
      <c r="E9" s="6" t="s">
        <v>79</v>
      </c>
      <c r="F9" s="6" t="s">
        <v>33</v>
      </c>
      <c r="G9" s="6" t="s">
        <v>226</v>
      </c>
      <c r="K9" s="7">
        <v>46131</v>
      </c>
    </row>
    <row r="10" spans="1:11" ht="45" x14ac:dyDescent="0.25">
      <c r="A10" s="6">
        <v>9</v>
      </c>
      <c r="B10" s="6" t="s">
        <v>42</v>
      </c>
      <c r="C10" s="6" t="s">
        <v>43</v>
      </c>
      <c r="D10" s="6" t="s">
        <v>35</v>
      </c>
      <c r="E10" s="6" t="s">
        <v>80</v>
      </c>
      <c r="F10" s="6" t="s">
        <v>33</v>
      </c>
      <c r="G10" s="6" t="s">
        <v>227</v>
      </c>
      <c r="K10" s="7">
        <v>46131</v>
      </c>
    </row>
    <row r="11" spans="1:11" ht="120" x14ac:dyDescent="0.25">
      <c r="A11" s="6">
        <v>10</v>
      </c>
      <c r="B11" s="6" t="s">
        <v>42</v>
      </c>
      <c r="C11" s="6" t="s">
        <v>81</v>
      </c>
      <c r="D11" s="6" t="s">
        <v>82</v>
      </c>
      <c r="E11" s="6" t="s">
        <v>83</v>
      </c>
      <c r="F11" s="6" t="s">
        <v>33</v>
      </c>
      <c r="G11" s="6" t="s">
        <v>48</v>
      </c>
      <c r="H11" s="6" t="s">
        <v>187</v>
      </c>
      <c r="I11" s="6" t="s">
        <v>173</v>
      </c>
      <c r="J11" s="6" t="s">
        <v>39</v>
      </c>
      <c r="K11" s="7">
        <v>46131</v>
      </c>
    </row>
    <row r="12" spans="1:11" ht="60" x14ac:dyDescent="0.25">
      <c r="A12" s="6">
        <v>11</v>
      </c>
      <c r="B12" s="6" t="s">
        <v>42</v>
      </c>
      <c r="C12" s="6" t="s">
        <v>84</v>
      </c>
      <c r="D12" s="6" t="s">
        <v>35</v>
      </c>
      <c r="E12" s="6" t="s">
        <v>85</v>
      </c>
      <c r="F12" s="6" t="s">
        <v>33</v>
      </c>
      <c r="G12" s="6" t="s">
        <v>228</v>
      </c>
    </row>
    <row r="13" spans="1:11" ht="45" x14ac:dyDescent="0.25">
      <c r="A13" s="6">
        <v>12</v>
      </c>
      <c r="B13" s="6" t="s">
        <v>42</v>
      </c>
      <c r="C13" s="6" t="s">
        <v>86</v>
      </c>
      <c r="D13" s="6" t="s">
        <v>37</v>
      </c>
      <c r="E13" s="6" t="s">
        <v>87</v>
      </c>
      <c r="F13" s="6" t="s">
        <v>33</v>
      </c>
      <c r="G13" s="6" t="s">
        <v>88</v>
      </c>
      <c r="J13" s="6" t="s">
        <v>34</v>
      </c>
      <c r="K13" s="7">
        <v>46131</v>
      </c>
    </row>
    <row r="14" spans="1:11" ht="75" x14ac:dyDescent="0.25">
      <c r="A14" s="6">
        <v>13</v>
      </c>
      <c r="B14" s="6" t="s">
        <v>46</v>
      </c>
      <c r="C14" s="6" t="s">
        <v>89</v>
      </c>
      <c r="D14" s="6" t="s">
        <v>37</v>
      </c>
      <c r="E14" s="6" t="s">
        <v>90</v>
      </c>
      <c r="F14" s="6" t="s">
        <v>33</v>
      </c>
      <c r="G14" s="6" t="s">
        <v>91</v>
      </c>
      <c r="J14" s="6" t="s">
        <v>34</v>
      </c>
      <c r="K14" s="7">
        <v>46131</v>
      </c>
    </row>
    <row r="15" spans="1:11" ht="45" x14ac:dyDescent="0.25">
      <c r="A15" s="6">
        <v>14</v>
      </c>
      <c r="B15" s="6" t="s">
        <v>46</v>
      </c>
      <c r="C15" s="6" t="s">
        <v>92</v>
      </c>
      <c r="D15" s="6" t="s">
        <v>41</v>
      </c>
      <c r="E15" s="6" t="s">
        <v>93</v>
      </c>
      <c r="F15" s="6" t="s">
        <v>33</v>
      </c>
      <c r="G15" s="6" t="s">
        <v>94</v>
      </c>
      <c r="J15" s="6" t="s">
        <v>34</v>
      </c>
      <c r="K15" s="7">
        <v>46131</v>
      </c>
    </row>
    <row r="16" spans="1:11" ht="60" x14ac:dyDescent="0.25">
      <c r="A16" s="6">
        <v>15</v>
      </c>
      <c r="B16" s="6" t="s">
        <v>46</v>
      </c>
      <c r="C16" s="6" t="s">
        <v>95</v>
      </c>
      <c r="D16" s="6" t="s">
        <v>47</v>
      </c>
      <c r="E16" s="6" t="s">
        <v>96</v>
      </c>
      <c r="F16" s="6" t="s">
        <v>38</v>
      </c>
      <c r="G16" s="6" t="s">
        <v>229</v>
      </c>
    </row>
    <row r="17" spans="1:11" ht="60" x14ac:dyDescent="0.25">
      <c r="A17" s="6">
        <v>16</v>
      </c>
      <c r="B17" s="6" t="s">
        <v>50</v>
      </c>
      <c r="C17" s="6" t="s">
        <v>100</v>
      </c>
      <c r="D17" s="6" t="s">
        <v>101</v>
      </c>
      <c r="E17" s="6" t="s">
        <v>102</v>
      </c>
      <c r="F17" s="6" t="s">
        <v>33</v>
      </c>
      <c r="G17" s="6" t="s">
        <v>103</v>
      </c>
      <c r="J17" s="6" t="s">
        <v>34</v>
      </c>
      <c r="K17" s="7">
        <v>46131</v>
      </c>
    </row>
    <row r="18" spans="1:11" ht="45" x14ac:dyDescent="0.25">
      <c r="A18" s="6">
        <v>17</v>
      </c>
      <c r="B18" s="6" t="s">
        <v>50</v>
      </c>
      <c r="C18" s="6" t="s">
        <v>104</v>
      </c>
      <c r="D18" s="6" t="s">
        <v>105</v>
      </c>
      <c r="E18" s="6" t="s">
        <v>106</v>
      </c>
      <c r="F18" s="6" t="s">
        <v>51</v>
      </c>
      <c r="G18" s="6" t="s">
        <v>230</v>
      </c>
    </row>
    <row r="19" spans="1:11" ht="45" x14ac:dyDescent="0.25">
      <c r="A19" s="6">
        <v>18</v>
      </c>
      <c r="B19" s="6" t="s">
        <v>52</v>
      </c>
      <c r="C19" s="6" t="s">
        <v>110</v>
      </c>
      <c r="D19" s="6" t="s">
        <v>35</v>
      </c>
      <c r="E19" s="6" t="s">
        <v>231</v>
      </c>
    </row>
    <row r="20" spans="1:11" ht="90" x14ac:dyDescent="0.25">
      <c r="A20" s="6">
        <v>19</v>
      </c>
      <c r="B20" s="6" t="s">
        <v>52</v>
      </c>
      <c r="C20" s="6" t="s">
        <v>174</v>
      </c>
      <c r="D20" s="6" t="s">
        <v>82</v>
      </c>
      <c r="E20" s="6" t="s">
        <v>175</v>
      </c>
      <c r="F20" s="6" t="s">
        <v>51</v>
      </c>
      <c r="G20" s="6" t="s">
        <v>190</v>
      </c>
      <c r="H20" s="6" t="s">
        <v>176</v>
      </c>
      <c r="I20" s="6" t="s">
        <v>177</v>
      </c>
      <c r="J20" s="6" t="s">
        <v>49</v>
      </c>
      <c r="K20" s="7">
        <v>46131</v>
      </c>
    </row>
    <row r="21" spans="1:11" ht="45" x14ac:dyDescent="0.25">
      <c r="A21" s="6">
        <v>20</v>
      </c>
      <c r="B21" s="6" t="s">
        <v>52</v>
      </c>
      <c r="C21" s="6" t="s">
        <v>178</v>
      </c>
      <c r="D21" s="6" t="s">
        <v>35</v>
      </c>
      <c r="E21" s="6" t="s">
        <v>232</v>
      </c>
    </row>
    <row r="22" spans="1:11" ht="30" x14ac:dyDescent="0.25">
      <c r="A22" s="6">
        <v>21</v>
      </c>
      <c r="B22" s="6" t="s">
        <v>52</v>
      </c>
      <c r="C22" s="6" t="s">
        <v>113</v>
      </c>
      <c r="D22" s="6" t="s">
        <v>37</v>
      </c>
      <c r="E22" s="6" t="s">
        <v>233</v>
      </c>
    </row>
    <row r="23" spans="1:11" ht="45" x14ac:dyDescent="0.25">
      <c r="A23" s="6">
        <v>22</v>
      </c>
      <c r="B23" s="6" t="s">
        <v>52</v>
      </c>
      <c r="C23" s="6" t="s">
        <v>116</v>
      </c>
      <c r="D23" s="6" t="s">
        <v>37</v>
      </c>
      <c r="E23" s="6" t="s">
        <v>117</v>
      </c>
      <c r="F23" s="6" t="s">
        <v>33</v>
      </c>
      <c r="G23" s="6" t="s">
        <v>118</v>
      </c>
      <c r="J23" s="6" t="s">
        <v>34</v>
      </c>
      <c r="K23" s="7">
        <v>46131</v>
      </c>
    </row>
    <row r="24" spans="1:11" ht="30" x14ac:dyDescent="0.25">
      <c r="A24" s="6">
        <v>23</v>
      </c>
      <c r="B24" s="6" t="s">
        <v>52</v>
      </c>
      <c r="C24" s="6" t="s">
        <v>119</v>
      </c>
      <c r="D24" s="6" t="s">
        <v>120</v>
      </c>
      <c r="E24" s="6" t="s">
        <v>121</v>
      </c>
      <c r="F24" s="6" t="s">
        <v>33</v>
      </c>
      <c r="G24" s="6" t="s">
        <v>234</v>
      </c>
    </row>
    <row r="25" spans="1:11" ht="45" x14ac:dyDescent="0.25">
      <c r="A25" s="6">
        <v>24</v>
      </c>
      <c r="B25" s="6" t="s">
        <v>52</v>
      </c>
      <c r="C25" s="6" t="s">
        <v>123</v>
      </c>
      <c r="D25" s="6" t="s">
        <v>41</v>
      </c>
      <c r="E25" s="6" t="s">
        <v>124</v>
      </c>
      <c r="F25" s="6" t="s">
        <v>51</v>
      </c>
      <c r="G25" s="6" t="s">
        <v>125</v>
      </c>
      <c r="H25" s="6" t="s">
        <v>126</v>
      </c>
      <c r="I25" s="6" t="s">
        <v>127</v>
      </c>
      <c r="J25" s="6" t="s">
        <v>49</v>
      </c>
      <c r="K25" s="7">
        <v>46131</v>
      </c>
    </row>
    <row r="26" spans="1:11" ht="45" x14ac:dyDescent="0.25">
      <c r="A26" s="6">
        <v>25</v>
      </c>
      <c r="B26" s="6" t="s">
        <v>52</v>
      </c>
      <c r="C26" s="6" t="s">
        <v>128</v>
      </c>
      <c r="D26" s="6" t="s">
        <v>41</v>
      </c>
      <c r="E26" s="6" t="s">
        <v>129</v>
      </c>
      <c r="F26" s="6" t="s">
        <v>51</v>
      </c>
      <c r="G26" s="6" t="s">
        <v>125</v>
      </c>
      <c r="H26" s="6" t="s">
        <v>130</v>
      </c>
      <c r="I26" s="6" t="s">
        <v>235</v>
      </c>
    </row>
    <row r="27" spans="1:11" ht="45" x14ac:dyDescent="0.25">
      <c r="A27" s="6">
        <v>26</v>
      </c>
      <c r="B27" s="6" t="s">
        <v>52</v>
      </c>
      <c r="C27" s="6" t="s">
        <v>132</v>
      </c>
      <c r="D27" s="6" t="s">
        <v>41</v>
      </c>
      <c r="E27" s="6" t="s">
        <v>133</v>
      </c>
      <c r="F27" s="6" t="s">
        <v>51</v>
      </c>
      <c r="G27" s="6" t="s">
        <v>134</v>
      </c>
      <c r="H27" s="6" t="s">
        <v>135</v>
      </c>
      <c r="I27" s="6" t="s">
        <v>136</v>
      </c>
      <c r="J27" s="6" t="s">
        <v>49</v>
      </c>
      <c r="K27" s="7">
        <v>46131</v>
      </c>
    </row>
    <row r="28" spans="1:11" ht="45" x14ac:dyDescent="0.25">
      <c r="A28" s="6">
        <v>27</v>
      </c>
      <c r="B28" s="6" t="s">
        <v>52</v>
      </c>
      <c r="C28" s="6" t="s">
        <v>137</v>
      </c>
      <c r="D28" s="6" t="s">
        <v>138</v>
      </c>
      <c r="E28" s="6" t="s">
        <v>236</v>
      </c>
    </row>
    <row r="29" spans="1:11" ht="45" x14ac:dyDescent="0.25">
      <c r="A29" s="6">
        <v>28</v>
      </c>
      <c r="B29" s="6" t="s">
        <v>52</v>
      </c>
      <c r="C29" s="6" t="s">
        <v>143</v>
      </c>
      <c r="D29" s="6" t="s">
        <v>144</v>
      </c>
      <c r="E29" s="6" t="s">
        <v>145</v>
      </c>
      <c r="F29" s="6" t="s">
        <v>38</v>
      </c>
      <c r="G29" s="6" t="s">
        <v>237</v>
      </c>
    </row>
    <row r="30" spans="1:11" ht="45" x14ac:dyDescent="0.25">
      <c r="A30" s="6">
        <v>29</v>
      </c>
      <c r="B30" s="6" t="s">
        <v>54</v>
      </c>
      <c r="C30" s="6" t="s">
        <v>55</v>
      </c>
      <c r="D30" s="6" t="s">
        <v>56</v>
      </c>
      <c r="E30" s="6" t="s">
        <v>149</v>
      </c>
      <c r="F30" s="6" t="s">
        <v>57</v>
      </c>
      <c r="G30" s="6" t="s">
        <v>150</v>
      </c>
      <c r="H30" s="6" t="s">
        <v>151</v>
      </c>
      <c r="I30" s="6" t="s">
        <v>152</v>
      </c>
      <c r="J30" s="6" t="s">
        <v>39</v>
      </c>
      <c r="K30" s="7">
        <v>46131</v>
      </c>
    </row>
    <row r="31" spans="1:11" ht="60" x14ac:dyDescent="0.25">
      <c r="A31" s="6">
        <v>30</v>
      </c>
      <c r="B31" s="6" t="s">
        <v>54</v>
      </c>
      <c r="C31" s="6" t="s">
        <v>153</v>
      </c>
      <c r="D31" s="6" t="s">
        <v>183</v>
      </c>
      <c r="E31" s="6" t="s">
        <v>154</v>
      </c>
      <c r="F31" s="6" t="s">
        <v>58</v>
      </c>
      <c r="G31" s="6" t="s">
        <v>184</v>
      </c>
      <c r="H31" s="6" t="s">
        <v>185</v>
      </c>
      <c r="I31" s="6" t="s">
        <v>155</v>
      </c>
      <c r="J31" s="6" t="s">
        <v>39</v>
      </c>
      <c r="K31" s="7">
        <v>46131</v>
      </c>
    </row>
    <row r="32" spans="1:11" ht="45" x14ac:dyDescent="0.25">
      <c r="A32" s="6">
        <v>31</v>
      </c>
      <c r="B32" s="6" t="s">
        <v>54</v>
      </c>
      <c r="C32" s="6" t="s">
        <v>156</v>
      </c>
      <c r="D32" s="6" t="s">
        <v>183</v>
      </c>
      <c r="E32" s="6" t="s">
        <v>157</v>
      </c>
      <c r="F32" s="6" t="s">
        <v>58</v>
      </c>
      <c r="G32" s="6" t="s">
        <v>158</v>
      </c>
      <c r="H32" s="6" t="s">
        <v>159</v>
      </c>
      <c r="I32" s="6" t="s">
        <v>160</v>
      </c>
      <c r="J32" s="6" t="s">
        <v>39</v>
      </c>
      <c r="K32" s="7">
        <v>46131</v>
      </c>
    </row>
    <row r="33" spans="1:11" ht="60" x14ac:dyDescent="0.25">
      <c r="A33" s="6">
        <v>32</v>
      </c>
      <c r="B33" s="6" t="s">
        <v>54</v>
      </c>
      <c r="C33" s="6" t="s">
        <v>61</v>
      </c>
      <c r="D33" s="6" t="s">
        <v>37</v>
      </c>
      <c r="E33" s="6" t="s">
        <v>161</v>
      </c>
      <c r="F33" s="6" t="s">
        <v>38</v>
      </c>
      <c r="G33" s="6" t="s">
        <v>238</v>
      </c>
    </row>
    <row r="34" spans="1:11" ht="60" x14ac:dyDescent="0.25">
      <c r="A34" s="6">
        <v>33</v>
      </c>
      <c r="B34" s="6" t="s">
        <v>54</v>
      </c>
      <c r="C34" s="6" t="s">
        <v>59</v>
      </c>
      <c r="D34" s="6" t="s">
        <v>56</v>
      </c>
      <c r="E34" s="6" t="s">
        <v>165</v>
      </c>
      <c r="F34" s="6" t="s">
        <v>57</v>
      </c>
      <c r="G34" s="6" t="s">
        <v>166</v>
      </c>
      <c r="H34" s="6" t="s">
        <v>167</v>
      </c>
      <c r="I34" s="6" t="s">
        <v>239</v>
      </c>
    </row>
    <row r="35" spans="1:11" ht="45" x14ac:dyDescent="0.25">
      <c r="A35" s="6">
        <v>34</v>
      </c>
      <c r="B35" s="6" t="s">
        <v>54</v>
      </c>
      <c r="C35" s="6" t="s">
        <v>60</v>
      </c>
      <c r="D35" s="6" t="s">
        <v>183</v>
      </c>
      <c r="E35" s="6" t="s">
        <v>169</v>
      </c>
      <c r="F35" s="6" t="s">
        <v>58</v>
      </c>
      <c r="G35" s="6" t="s">
        <v>240</v>
      </c>
    </row>
    <row r="36" spans="1:11" ht="45" x14ac:dyDescent="0.25">
      <c r="A36" s="6">
        <v>35</v>
      </c>
      <c r="B36" s="6" t="s">
        <v>54</v>
      </c>
      <c r="C36" s="6" t="s">
        <v>241</v>
      </c>
      <c r="D36" s="6" t="s">
        <v>242</v>
      </c>
      <c r="E36" s="6" t="s">
        <v>243</v>
      </c>
    </row>
    <row r="37" spans="1:11" ht="60" x14ac:dyDescent="0.25">
      <c r="A37" s="6">
        <v>36</v>
      </c>
      <c r="B37" s="6" t="s">
        <v>54</v>
      </c>
      <c r="C37" s="6" t="s">
        <v>244</v>
      </c>
      <c r="D37" s="6" t="s">
        <v>245</v>
      </c>
      <c r="E37" s="6" t="s">
        <v>246</v>
      </c>
    </row>
    <row r="38" spans="1:11" ht="60" x14ac:dyDescent="0.25">
      <c r="A38" s="6">
        <v>37</v>
      </c>
      <c r="B38" s="6" t="s">
        <v>54</v>
      </c>
      <c r="C38" s="6" t="s">
        <v>247</v>
      </c>
      <c r="D38" s="6" t="s">
        <v>248</v>
      </c>
      <c r="E38" s="6" t="s">
        <v>249</v>
      </c>
    </row>
    <row r="39" spans="1:11" ht="45" x14ac:dyDescent="0.25">
      <c r="A39" s="6">
        <v>38</v>
      </c>
      <c r="B39" s="6" t="s">
        <v>54</v>
      </c>
      <c r="C39" s="6" t="s">
        <v>250</v>
      </c>
      <c r="D39" s="6" t="s">
        <v>251</v>
      </c>
      <c r="E39" s="6" t="s">
        <v>252</v>
      </c>
    </row>
    <row r="40" spans="1:11" ht="60" x14ac:dyDescent="0.25">
      <c r="A40" s="6">
        <v>39</v>
      </c>
      <c r="B40" s="6" t="s">
        <v>54</v>
      </c>
      <c r="C40" s="6" t="s">
        <v>253</v>
      </c>
      <c r="D40" s="6" t="s">
        <v>254</v>
      </c>
      <c r="E40" s="6" t="s">
        <v>255</v>
      </c>
      <c r="F40" s="6" t="s">
        <v>57</v>
      </c>
      <c r="G40" s="6" t="s">
        <v>256</v>
      </c>
    </row>
    <row r="41" spans="1:11" ht="75" x14ac:dyDescent="0.25">
      <c r="A41" s="6">
        <v>40</v>
      </c>
      <c r="B41" s="6" t="s">
        <v>257</v>
      </c>
      <c r="C41" s="6" t="s">
        <v>258</v>
      </c>
      <c r="D41" s="6" t="s">
        <v>254</v>
      </c>
      <c r="E41" s="6" t="s">
        <v>259</v>
      </c>
      <c r="F41" s="6" t="s">
        <v>57</v>
      </c>
      <c r="G41" s="6" t="s">
        <v>260</v>
      </c>
    </row>
    <row r="42" spans="1:11" ht="45" x14ac:dyDescent="0.25">
      <c r="A42" s="6">
        <v>41</v>
      </c>
      <c r="B42" s="6" t="s">
        <v>54</v>
      </c>
      <c r="C42" s="6" t="s">
        <v>261</v>
      </c>
      <c r="D42" s="6" t="s">
        <v>262</v>
      </c>
      <c r="E42" s="6" t="s">
        <v>263</v>
      </c>
      <c r="F42" s="6" t="s">
        <v>58</v>
      </c>
      <c r="G42" s="6" t="s">
        <v>264</v>
      </c>
      <c r="H42" s="6" t="s">
        <v>265</v>
      </c>
      <c r="I42" s="6" t="s">
        <v>266</v>
      </c>
      <c r="J42" s="6" t="s">
        <v>39</v>
      </c>
      <c r="K42" s="7">
        <v>46140</v>
      </c>
    </row>
    <row r="43" spans="1:11" ht="60" x14ac:dyDescent="0.25">
      <c r="A43" s="6">
        <v>42</v>
      </c>
      <c r="B43" s="6" t="s">
        <v>54</v>
      </c>
      <c r="C43" s="6" t="s">
        <v>153</v>
      </c>
      <c r="D43" s="6" t="s">
        <v>267</v>
      </c>
      <c r="E43" s="6" t="s">
        <v>268</v>
      </c>
      <c r="F43" s="6" t="s">
        <v>58</v>
      </c>
      <c r="G43" s="6" t="s">
        <v>269</v>
      </c>
      <c r="H43" s="6" t="s">
        <v>270</v>
      </c>
      <c r="I43" s="6" t="s">
        <v>271</v>
      </c>
    </row>
    <row r="44" spans="1:11" ht="60" x14ac:dyDescent="0.25">
      <c r="A44" s="6">
        <v>43</v>
      </c>
      <c r="B44" s="6" t="s">
        <v>54</v>
      </c>
      <c r="C44" s="6" t="s">
        <v>156</v>
      </c>
      <c r="D44" s="6" t="s">
        <v>272</v>
      </c>
      <c r="E44" s="6" t="s">
        <v>273</v>
      </c>
      <c r="F44" s="6" t="s">
        <v>58</v>
      </c>
      <c r="G44" s="6" t="s">
        <v>274</v>
      </c>
      <c r="H44" s="6" t="s">
        <v>275</v>
      </c>
      <c r="I44" s="6" t="s">
        <v>276</v>
      </c>
    </row>
    <row r="45" spans="1:11" ht="60" x14ac:dyDescent="0.25">
      <c r="A45" s="6">
        <v>44</v>
      </c>
      <c r="B45" s="6" t="s">
        <v>54</v>
      </c>
      <c r="C45" s="6" t="s">
        <v>277</v>
      </c>
      <c r="D45" s="6" t="s">
        <v>183</v>
      </c>
      <c r="E45" s="6" t="s">
        <v>278</v>
      </c>
      <c r="F45" s="6" t="s">
        <v>38</v>
      </c>
      <c r="G45" s="6" t="s">
        <v>279</v>
      </c>
    </row>
    <row r="46" spans="1:11" ht="60" x14ac:dyDescent="0.25">
      <c r="A46" s="6">
        <v>45</v>
      </c>
      <c r="B46" s="6" t="s">
        <v>257</v>
      </c>
      <c r="C46" s="6" t="s">
        <v>280</v>
      </c>
      <c r="D46" s="6" t="s">
        <v>183</v>
      </c>
      <c r="E46" s="6" t="s">
        <v>281</v>
      </c>
      <c r="F46" s="6" t="s">
        <v>38</v>
      </c>
      <c r="G46" s="6" t="s">
        <v>282</v>
      </c>
    </row>
    <row r="47" spans="1:11" ht="90" x14ac:dyDescent="0.25">
      <c r="A47" s="6">
        <v>46</v>
      </c>
      <c r="B47" s="6" t="s">
        <v>257</v>
      </c>
      <c r="C47" s="6" t="s">
        <v>283</v>
      </c>
      <c r="D47" s="6" t="s">
        <v>284</v>
      </c>
      <c r="E47" s="6" t="s">
        <v>285</v>
      </c>
      <c r="F47" s="6" t="s">
        <v>38</v>
      </c>
      <c r="G47" s="6" t="s">
        <v>286</v>
      </c>
      <c r="H47" s="6" t="s">
        <v>287</v>
      </c>
      <c r="I47" s="6" t="s">
        <v>288</v>
      </c>
      <c r="J47" s="6" t="s">
        <v>39</v>
      </c>
      <c r="K47" s="7">
        <v>46140</v>
      </c>
    </row>
    <row r="48" spans="1:11" ht="45" x14ac:dyDescent="0.25">
      <c r="A48" s="6">
        <v>47</v>
      </c>
      <c r="B48" s="6" t="s">
        <v>50</v>
      </c>
      <c r="C48" s="6" t="s">
        <v>289</v>
      </c>
    </row>
    <row r="49" spans="1:7" ht="75" x14ac:dyDescent="0.25">
      <c r="A49" s="6">
        <v>48</v>
      </c>
      <c r="B49" s="6" t="s">
        <v>54</v>
      </c>
      <c r="C49" s="6" t="s">
        <v>290</v>
      </c>
      <c r="D49" s="6" t="s">
        <v>291</v>
      </c>
      <c r="E49" s="6" t="s">
        <v>292</v>
      </c>
      <c r="F49" s="6" t="s">
        <v>38</v>
      </c>
      <c r="G49" s="6" t="s">
        <v>293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65C5A-3877-4FE7-B091-2377A88C9E91}">
  <dimension ref="A1:Z1020"/>
  <sheetViews>
    <sheetView tabSelected="1" topLeftCell="A26" workbookViewId="0">
      <selection activeCell="A7" sqref="A7"/>
    </sheetView>
  </sheetViews>
  <sheetFormatPr defaultColWidth="14.42578125" defaultRowHeight="15" customHeight="1" x14ac:dyDescent="0.25"/>
  <cols>
    <col min="1" max="1" width="33.28515625" style="17" bestFit="1" customWidth="1"/>
    <col min="2" max="2" width="38.7109375" style="17" customWidth="1"/>
    <col min="3" max="3" width="41.28515625" style="17" customWidth="1"/>
    <col min="4" max="4" width="70" style="17" customWidth="1"/>
    <col min="5" max="26" width="8.7109375" style="17" customWidth="1"/>
    <col min="27" max="16384" width="14.42578125" style="17"/>
  </cols>
  <sheetData>
    <row r="1" spans="1:26" ht="14.25" customHeight="1" x14ac:dyDescent="0.3">
      <c r="A1" s="14" t="s">
        <v>211</v>
      </c>
      <c r="B1" s="15"/>
      <c r="C1" s="15"/>
      <c r="D1" s="15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4.25" customHeight="1" x14ac:dyDescent="0.25">
      <c r="A2" s="18" t="s">
        <v>328</v>
      </c>
      <c r="B2" s="11"/>
      <c r="C2" s="11"/>
      <c r="D2" s="11"/>
    </row>
    <row r="3" spans="1:26" ht="14.25" customHeight="1" x14ac:dyDescent="0.25">
      <c r="A3" s="11"/>
      <c r="B3" s="11"/>
      <c r="C3" s="11"/>
      <c r="D3" s="11"/>
    </row>
    <row r="4" spans="1:26" ht="14.25" customHeight="1" x14ac:dyDescent="0.25">
      <c r="A4" s="18" t="s">
        <v>418</v>
      </c>
      <c r="B4" s="11"/>
      <c r="C4" s="11"/>
      <c r="D4" s="11"/>
    </row>
    <row r="5" spans="1:26" ht="14.25" customHeight="1" x14ac:dyDescent="0.25">
      <c r="A5" s="11" t="s">
        <v>212</v>
      </c>
      <c r="B5" s="11" t="s">
        <v>213</v>
      </c>
      <c r="C5" s="11" t="s">
        <v>214</v>
      </c>
      <c r="D5" s="11" t="s">
        <v>215</v>
      </c>
    </row>
    <row r="6" spans="1:26" ht="14.25" customHeight="1" x14ac:dyDescent="0.25">
      <c r="A6" s="17" t="s">
        <v>380</v>
      </c>
      <c r="B6" s="17" t="s">
        <v>381</v>
      </c>
      <c r="C6" s="17">
        <v>1</v>
      </c>
      <c r="D6" s="17" t="s">
        <v>382</v>
      </c>
    </row>
    <row r="7" spans="1:26" ht="14.25" customHeight="1" x14ac:dyDescent="0.25">
      <c r="A7" s="17" t="s">
        <v>383</v>
      </c>
      <c r="B7" s="17" t="s">
        <v>384</v>
      </c>
      <c r="C7" s="17">
        <v>9</v>
      </c>
      <c r="D7" s="17" t="s">
        <v>385</v>
      </c>
    </row>
    <row r="8" spans="1:26" ht="14.25" customHeight="1" x14ac:dyDescent="0.25">
      <c r="A8" s="17" t="s">
        <v>386</v>
      </c>
      <c r="B8" s="17" t="s">
        <v>387</v>
      </c>
      <c r="C8" s="17" t="s">
        <v>388</v>
      </c>
      <c r="D8" s="17" t="s">
        <v>389</v>
      </c>
    </row>
    <row r="9" spans="1:26" ht="14.25" customHeight="1" x14ac:dyDescent="0.25">
      <c r="A9" s="17" t="s">
        <v>390</v>
      </c>
      <c r="B9" s="17" t="s">
        <v>391</v>
      </c>
      <c r="C9" s="17" t="s">
        <v>392</v>
      </c>
      <c r="D9" s="17" t="s">
        <v>393</v>
      </c>
    </row>
    <row r="10" spans="1:26" ht="14.25" customHeight="1" x14ac:dyDescent="0.25">
      <c r="A10" s="17" t="s">
        <v>394</v>
      </c>
      <c r="B10" s="17" t="s">
        <v>395</v>
      </c>
      <c r="C10" s="17" t="s">
        <v>396</v>
      </c>
      <c r="D10" s="17" t="s">
        <v>397</v>
      </c>
    </row>
    <row r="11" spans="1:26" ht="14.25" customHeight="1" x14ac:dyDescent="0.25">
      <c r="A11" s="17" t="s">
        <v>398</v>
      </c>
      <c r="B11" s="17" t="s">
        <v>399</v>
      </c>
      <c r="C11" s="17" t="s">
        <v>400</v>
      </c>
      <c r="D11" s="17" t="s">
        <v>401</v>
      </c>
    </row>
    <row r="12" spans="1:26" ht="14.25" customHeight="1" x14ac:dyDescent="0.25">
      <c r="A12" s="17" t="s">
        <v>402</v>
      </c>
      <c r="B12" s="17" t="s">
        <v>403</v>
      </c>
      <c r="C12" s="17" t="s">
        <v>404</v>
      </c>
      <c r="D12" s="17" t="s">
        <v>405</v>
      </c>
    </row>
    <row r="13" spans="1:26" ht="14.25" customHeight="1" x14ac:dyDescent="0.25">
      <c r="A13" s="17" t="s">
        <v>406</v>
      </c>
      <c r="B13" s="17" t="s">
        <v>407</v>
      </c>
      <c r="C13" s="17" t="s">
        <v>408</v>
      </c>
      <c r="D13" s="17" t="s">
        <v>409</v>
      </c>
    </row>
    <row r="14" spans="1:26" ht="14.25" customHeight="1" x14ac:dyDescent="0.25">
      <c r="A14" s="17" t="s">
        <v>410</v>
      </c>
      <c r="B14" s="17" t="s">
        <v>411</v>
      </c>
      <c r="C14" s="17" t="s">
        <v>412</v>
      </c>
      <c r="D14" s="17" t="s">
        <v>413</v>
      </c>
    </row>
    <row r="15" spans="1:26" ht="14.25" customHeight="1" x14ac:dyDescent="0.25">
      <c r="A15" s="17" t="s">
        <v>414</v>
      </c>
      <c r="B15" s="17" t="s">
        <v>415</v>
      </c>
      <c r="C15" s="17" t="s">
        <v>416</v>
      </c>
      <c r="D15" s="17" t="s">
        <v>417</v>
      </c>
    </row>
    <row r="16" spans="1:26" ht="14.25" customHeight="1" x14ac:dyDescent="0.25">
      <c r="A16" s="11"/>
      <c r="B16" s="11"/>
      <c r="C16" s="11"/>
      <c r="D16" s="11"/>
    </row>
    <row r="17" spans="1:4" ht="14.25" customHeight="1" x14ac:dyDescent="0.25">
      <c r="A17" s="18" t="s">
        <v>340</v>
      </c>
      <c r="B17" s="11"/>
      <c r="C17" s="11"/>
      <c r="D17" s="11"/>
    </row>
    <row r="18" spans="1:4" ht="14.25" customHeight="1" x14ac:dyDescent="0.25">
      <c r="A18" s="11" t="s">
        <v>212</v>
      </c>
      <c r="B18" s="11" t="s">
        <v>213</v>
      </c>
      <c r="C18" s="11" t="s">
        <v>214</v>
      </c>
      <c r="D18" s="11" t="s">
        <v>215</v>
      </c>
    </row>
    <row r="19" spans="1:4" ht="14.25" customHeight="1" x14ac:dyDescent="0.25">
      <c r="A19" s="17" t="s">
        <v>329</v>
      </c>
      <c r="B19" s="17" t="s">
        <v>330</v>
      </c>
      <c r="C19" s="17" t="s">
        <v>429</v>
      </c>
      <c r="D19" s="17" t="s">
        <v>430</v>
      </c>
    </row>
    <row r="20" spans="1:4" ht="14.25" customHeight="1" x14ac:dyDescent="0.25">
      <c r="A20" s="17" t="s">
        <v>331</v>
      </c>
      <c r="B20" s="17" t="s">
        <v>332</v>
      </c>
      <c r="C20" s="17" t="s">
        <v>431</v>
      </c>
      <c r="D20" s="17" t="s">
        <v>432</v>
      </c>
    </row>
    <row r="21" spans="1:4" ht="14.25" customHeight="1" x14ac:dyDescent="0.25">
      <c r="A21" s="17" t="s">
        <v>333</v>
      </c>
      <c r="B21" s="17" t="s">
        <v>334</v>
      </c>
      <c r="C21" s="17" t="s">
        <v>433</v>
      </c>
      <c r="D21" s="17" t="s">
        <v>434</v>
      </c>
    </row>
    <row r="22" spans="1:4" ht="14.25" customHeight="1" x14ac:dyDescent="0.25">
      <c r="A22" s="17" t="s">
        <v>335</v>
      </c>
      <c r="B22" s="17" t="s">
        <v>336</v>
      </c>
      <c r="C22" s="17" t="s">
        <v>435</v>
      </c>
      <c r="D22" s="17" t="s">
        <v>436</v>
      </c>
    </row>
    <row r="23" spans="1:4" ht="14.25" customHeight="1" x14ac:dyDescent="0.25">
      <c r="A23" s="17" t="s">
        <v>337</v>
      </c>
      <c r="B23" s="17" t="s">
        <v>338</v>
      </c>
      <c r="C23" s="17" t="s">
        <v>437</v>
      </c>
      <c r="D23" s="17" t="s">
        <v>438</v>
      </c>
    </row>
    <row r="24" spans="1:4" ht="14.25" customHeight="1" x14ac:dyDescent="0.25">
      <c r="A24" s="17" t="s">
        <v>339</v>
      </c>
      <c r="B24" s="17" t="s">
        <v>439</v>
      </c>
      <c r="C24" s="17" t="s">
        <v>440</v>
      </c>
      <c r="D24" s="17" t="s">
        <v>441</v>
      </c>
    </row>
    <row r="25" spans="1:4" ht="14.25" customHeight="1" x14ac:dyDescent="0.25">
      <c r="A25" s="17" t="s">
        <v>442</v>
      </c>
      <c r="B25" s="17" t="s">
        <v>443</v>
      </c>
      <c r="C25" s="17" t="s">
        <v>444</v>
      </c>
      <c r="D25" s="17" t="s">
        <v>445</v>
      </c>
    </row>
    <row r="26" spans="1:4" ht="14.25" customHeight="1" x14ac:dyDescent="0.25"/>
    <row r="27" spans="1:4" ht="14.25" customHeight="1" x14ac:dyDescent="0.25">
      <c r="A27" s="18" t="s">
        <v>352</v>
      </c>
      <c r="B27" s="11"/>
      <c r="C27" s="11"/>
      <c r="D27" s="11"/>
    </row>
    <row r="28" spans="1:4" ht="14.25" customHeight="1" x14ac:dyDescent="0.25">
      <c r="A28" s="11" t="s">
        <v>212</v>
      </c>
      <c r="B28" s="11" t="s">
        <v>213</v>
      </c>
      <c r="C28" s="11" t="s">
        <v>214</v>
      </c>
      <c r="D28" s="11" t="s">
        <v>215</v>
      </c>
    </row>
    <row r="29" spans="1:4" ht="14.25" customHeight="1" x14ac:dyDescent="0.25">
      <c r="A29" s="17" t="s">
        <v>341</v>
      </c>
      <c r="B29" s="17" t="s">
        <v>446</v>
      </c>
      <c r="C29" s="17">
        <v>7</v>
      </c>
      <c r="D29" s="17" t="s">
        <v>447</v>
      </c>
    </row>
    <row r="30" spans="1:4" ht="14.25" customHeight="1" x14ac:dyDescent="0.25">
      <c r="A30" s="17" t="s">
        <v>343</v>
      </c>
      <c r="B30" s="17" t="s">
        <v>346</v>
      </c>
      <c r="C30" s="17" t="s">
        <v>347</v>
      </c>
      <c r="D30" s="17" t="s">
        <v>448</v>
      </c>
    </row>
    <row r="31" spans="1:4" ht="14.25" customHeight="1" x14ac:dyDescent="0.25">
      <c r="A31" s="17" t="s">
        <v>345</v>
      </c>
      <c r="B31" s="17" t="s">
        <v>349</v>
      </c>
      <c r="C31" s="17" t="s">
        <v>347</v>
      </c>
      <c r="D31" s="17" t="s">
        <v>448</v>
      </c>
    </row>
    <row r="32" spans="1:4" ht="14.25" customHeight="1" x14ac:dyDescent="0.25">
      <c r="A32" s="17" t="s">
        <v>348</v>
      </c>
      <c r="B32" s="17" t="s">
        <v>351</v>
      </c>
      <c r="C32" s="17">
        <v>9</v>
      </c>
      <c r="D32" s="17" t="s">
        <v>449</v>
      </c>
    </row>
    <row r="33" spans="1:4" ht="14.25" customHeight="1" x14ac:dyDescent="0.25">
      <c r="A33" s="17" t="s">
        <v>350</v>
      </c>
      <c r="B33" s="17" t="s">
        <v>450</v>
      </c>
      <c r="C33" s="17" t="s">
        <v>451</v>
      </c>
      <c r="D33" s="17" t="s">
        <v>452</v>
      </c>
    </row>
    <row r="34" spans="1:4" ht="14.25" customHeight="1" x14ac:dyDescent="0.25">
      <c r="A34" s="17" t="s">
        <v>453</v>
      </c>
      <c r="B34" s="17" t="s">
        <v>454</v>
      </c>
      <c r="C34" s="17" t="s">
        <v>455</v>
      </c>
      <c r="D34" s="17" t="s">
        <v>452</v>
      </c>
    </row>
    <row r="35" spans="1:4" ht="14.25" customHeight="1" x14ac:dyDescent="0.25"/>
    <row r="36" spans="1:4" ht="14.25" customHeight="1" x14ac:dyDescent="0.25">
      <c r="A36" s="18" t="s">
        <v>353</v>
      </c>
      <c r="B36" s="11"/>
      <c r="C36" s="11"/>
      <c r="D36" s="11"/>
    </row>
    <row r="37" spans="1:4" ht="14.25" customHeight="1" x14ac:dyDescent="0.25">
      <c r="A37" s="11" t="s">
        <v>212</v>
      </c>
      <c r="B37" s="11" t="s">
        <v>213</v>
      </c>
      <c r="C37" s="11" t="s">
        <v>214</v>
      </c>
      <c r="D37" s="11" t="s">
        <v>215</v>
      </c>
    </row>
    <row r="38" spans="1:4" ht="14.25" customHeight="1" x14ac:dyDescent="0.25">
      <c r="A38" s="17" t="s">
        <v>354</v>
      </c>
      <c r="B38" s="17" t="s">
        <v>355</v>
      </c>
      <c r="C38" s="17" t="s">
        <v>423</v>
      </c>
      <c r="D38" s="17" t="s">
        <v>356</v>
      </c>
    </row>
    <row r="39" spans="1:4" ht="14.25" customHeight="1" x14ac:dyDescent="0.25">
      <c r="A39" s="17" t="s">
        <v>357</v>
      </c>
      <c r="B39" s="17" t="s">
        <v>358</v>
      </c>
      <c r="C39" s="17" t="s">
        <v>424</v>
      </c>
      <c r="D39" s="17" t="s">
        <v>425</v>
      </c>
    </row>
    <row r="40" spans="1:4" ht="14.25" customHeight="1" x14ac:dyDescent="0.25">
      <c r="A40" s="17" t="s">
        <v>359</v>
      </c>
      <c r="B40" s="17" t="s">
        <v>360</v>
      </c>
      <c r="C40" s="17" t="s">
        <v>361</v>
      </c>
      <c r="D40" s="17" t="s">
        <v>421</v>
      </c>
    </row>
    <row r="41" spans="1:4" ht="14.25" customHeight="1" x14ac:dyDescent="0.25">
      <c r="A41" s="17" t="s">
        <v>362</v>
      </c>
      <c r="B41" s="17" t="s">
        <v>426</v>
      </c>
      <c r="C41" s="17" t="s">
        <v>363</v>
      </c>
      <c r="D41" s="17" t="s">
        <v>427</v>
      </c>
    </row>
    <row r="42" spans="1:4" ht="14.25" customHeight="1" x14ac:dyDescent="0.25">
      <c r="A42" s="17" t="s">
        <v>364</v>
      </c>
      <c r="B42" s="17" t="s">
        <v>365</v>
      </c>
      <c r="C42" s="17">
        <v>9</v>
      </c>
      <c r="D42" s="17" t="s">
        <v>428</v>
      </c>
    </row>
    <row r="43" spans="1:4" ht="14.25" customHeight="1" x14ac:dyDescent="0.25"/>
    <row r="44" spans="1:4" ht="14.25" customHeight="1" x14ac:dyDescent="0.25">
      <c r="A44" s="18" t="s">
        <v>375</v>
      </c>
      <c r="B44" s="11"/>
      <c r="C44" s="11"/>
      <c r="D44" s="11"/>
    </row>
    <row r="45" spans="1:4" ht="14.25" customHeight="1" x14ac:dyDescent="0.25">
      <c r="A45" s="11" t="s">
        <v>212</v>
      </c>
      <c r="B45" s="11" t="s">
        <v>213</v>
      </c>
      <c r="C45" s="11" t="s">
        <v>214</v>
      </c>
      <c r="D45" s="11" t="s">
        <v>215</v>
      </c>
    </row>
    <row r="46" spans="1:4" ht="14.25" customHeight="1" x14ac:dyDescent="0.25">
      <c r="A46" s="17" t="s">
        <v>366</v>
      </c>
      <c r="B46" s="17" t="s">
        <v>342</v>
      </c>
      <c r="C46" s="17">
        <v>7</v>
      </c>
      <c r="D46" s="17" t="s">
        <v>419</v>
      </c>
    </row>
    <row r="47" spans="1:4" ht="14.25" customHeight="1" x14ac:dyDescent="0.25">
      <c r="A47" s="17" t="s">
        <v>367</v>
      </c>
      <c r="B47" s="17" t="s">
        <v>368</v>
      </c>
      <c r="C47" s="17" t="s">
        <v>344</v>
      </c>
      <c r="D47" s="17" t="s">
        <v>419</v>
      </c>
    </row>
    <row r="48" spans="1:4" ht="14.25" customHeight="1" x14ac:dyDescent="0.25">
      <c r="A48" s="17" t="s">
        <v>369</v>
      </c>
      <c r="B48" s="17" t="s">
        <v>346</v>
      </c>
      <c r="C48" s="17" t="s">
        <v>370</v>
      </c>
      <c r="D48" s="17" t="s">
        <v>420</v>
      </c>
    </row>
    <row r="49" spans="1:4" ht="14.25" customHeight="1" x14ac:dyDescent="0.25">
      <c r="A49" s="17" t="s">
        <v>371</v>
      </c>
      <c r="B49" s="17" t="s">
        <v>349</v>
      </c>
      <c r="C49" s="17" t="s">
        <v>370</v>
      </c>
      <c r="D49" s="17" t="s">
        <v>421</v>
      </c>
    </row>
    <row r="50" spans="1:4" ht="14.25" customHeight="1" x14ac:dyDescent="0.25">
      <c r="A50" s="17" t="s">
        <v>372</v>
      </c>
      <c r="B50" s="17" t="s">
        <v>373</v>
      </c>
      <c r="C50" s="17" t="s">
        <v>374</v>
      </c>
      <c r="D50" s="17" t="s">
        <v>422</v>
      </c>
    </row>
    <row r="51" spans="1:4" ht="14.25" customHeight="1" x14ac:dyDescent="0.25"/>
    <row r="52" spans="1:4" ht="14.25" customHeight="1" x14ac:dyDescent="0.25"/>
    <row r="53" spans="1:4" ht="14.25" customHeight="1" x14ac:dyDescent="0.25"/>
    <row r="54" spans="1:4" ht="14.25" customHeight="1" x14ac:dyDescent="0.25"/>
    <row r="55" spans="1:4" ht="14.25" customHeight="1" x14ac:dyDescent="0.25"/>
    <row r="56" spans="1:4" ht="14.25" customHeight="1" x14ac:dyDescent="0.25"/>
    <row r="57" spans="1:4" ht="14.25" customHeight="1" x14ac:dyDescent="0.25"/>
    <row r="58" spans="1:4" ht="14.25" customHeight="1" x14ac:dyDescent="0.25"/>
    <row r="59" spans="1:4" ht="14.25" customHeight="1" x14ac:dyDescent="0.25"/>
    <row r="60" spans="1:4" ht="14.25" customHeight="1" x14ac:dyDescent="0.25"/>
    <row r="61" spans="1:4" ht="14.25" customHeight="1" x14ac:dyDescent="0.25"/>
    <row r="62" spans="1:4" ht="14.25" customHeight="1" x14ac:dyDescent="0.25"/>
    <row r="63" spans="1:4" ht="14.25" customHeight="1" x14ac:dyDescent="0.25"/>
    <row r="64" spans="1: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</sheetData>
  <pageMargins left="0.511811024" right="0.511811024" top="0.78740157499999996" bottom="0.78740157499999996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4CFEB-3CE3-4EEB-8004-53C1C29A12B7}">
  <dimension ref="A1:I22"/>
  <sheetViews>
    <sheetView workbookViewId="0">
      <selection activeCell="I2" sqref="I2"/>
    </sheetView>
  </sheetViews>
  <sheetFormatPr defaultRowHeight="39.75" customHeight="1" x14ac:dyDescent="0.25"/>
  <cols>
    <col min="1" max="1" width="11.28515625" style="6" customWidth="1"/>
    <col min="2" max="3" width="33.5703125" style="6" customWidth="1"/>
    <col min="4" max="4" width="41.140625" style="6" customWidth="1"/>
    <col min="5" max="5" width="12.7109375" style="6" customWidth="1"/>
    <col min="6" max="6" width="14.28515625" style="6" customWidth="1"/>
    <col min="7" max="7" width="16.5703125" style="6" customWidth="1"/>
    <col min="8" max="8" width="13.28515625" style="6" customWidth="1"/>
    <col min="9" max="9" width="20" style="6" customWidth="1"/>
    <col min="10" max="16384" width="9.140625" style="6"/>
  </cols>
  <sheetData>
    <row r="1" spans="1:9" ht="39.75" customHeight="1" x14ac:dyDescent="0.25">
      <c r="A1" s="19" t="s">
        <v>212</v>
      </c>
      <c r="B1" s="19" t="s">
        <v>213</v>
      </c>
      <c r="C1" s="19" t="s">
        <v>214</v>
      </c>
      <c r="D1" s="19" t="s">
        <v>215</v>
      </c>
      <c r="E1" s="19" t="s">
        <v>217</v>
      </c>
      <c r="F1" s="19" t="s">
        <v>218</v>
      </c>
      <c r="G1" s="20" t="s">
        <v>377</v>
      </c>
      <c r="H1" s="19" t="s">
        <v>219</v>
      </c>
      <c r="I1" s="19" t="s">
        <v>220</v>
      </c>
    </row>
    <row r="2" spans="1:9" ht="39.75" customHeight="1" x14ac:dyDescent="0.25">
      <c r="A2" s="6" t="s">
        <v>329</v>
      </c>
      <c r="B2" s="6" t="str">
        <f>_xlfn.XLOOKUP($A2,'Plano de Testes (Minuta)'!$A:$A,'Plano de Testes (Minuta)'!B:B)</f>
        <v>Registar novo produto</v>
      </c>
      <c r="C2" s="6" t="str">
        <f>_xlfn.XLOOKUP($A2,'Plano de Testes (Minuta)'!$A:$A,'Plano de Testes (Minuta)'!C:C)</f>
        <v>Arroz, 10, 3, kg</v>
      </c>
      <c r="D2" s="6" t="str">
        <f>_xlfn.XLOOKUP($A2,'Plano de Testes (Minuta)'!$A:$A,'Plano de Testes (Minuta)'!D:D)</f>
        <v>Produto adicionado, persistência actualizada, confirmação emitida</v>
      </c>
      <c r="E2" s="6" t="s">
        <v>376</v>
      </c>
      <c r="F2" s="7">
        <v>46140</v>
      </c>
      <c r="G2" s="6" t="s">
        <v>378</v>
      </c>
      <c r="H2" s="7">
        <v>46138</v>
      </c>
      <c r="I2" s="6" t="s">
        <v>379</v>
      </c>
    </row>
    <row r="3" spans="1:9" ht="39.75" customHeight="1" x14ac:dyDescent="0.25">
      <c r="A3" s="6" t="s">
        <v>331</v>
      </c>
      <c r="B3" s="6" t="str">
        <f>_xlfn.XLOOKUP($A3,'Plano de Testes (Minuta)'!$A:$A,'Plano de Testes (Minuta)'!B:B)</f>
        <v>Actualizar produto existente</v>
      </c>
      <c r="C3" s="6" t="str">
        <f>_xlfn.XLOOKUP($A3,'Plano de Testes (Minuta)'!$A:$A,'Plano de Testes (Minuta)'!C:C)</f>
        <v>Arroz, 15, 4, kg</v>
      </c>
      <c r="D3" s="6" t="str">
        <f>_xlfn.XLOOKUP($A3,'Plano de Testes (Minuta)'!$A:$A,'Plano de Testes (Minuta)'!D:D)</f>
        <v>Produto actualizado sem duplicação</v>
      </c>
      <c r="E3" s="6" t="s">
        <v>376</v>
      </c>
      <c r="F3" s="7">
        <v>46140</v>
      </c>
    </row>
    <row r="4" spans="1:9" ht="39.75" customHeight="1" x14ac:dyDescent="0.25">
      <c r="A4" s="6" t="s">
        <v>333</v>
      </c>
      <c r="B4" s="6" t="str">
        <f>_xlfn.XLOOKUP($A4,'Plano de Testes (Minuta)'!$A:$A,'Plano de Testes (Minuta)'!B:B)</f>
        <v>Remover quantidade com stock suficiente</v>
      </c>
      <c r="C4" s="6" t="str">
        <f>_xlfn.XLOOKUP($A4,'Plano de Testes (Minuta)'!$A:$A,'Plano de Testes (Minuta)'!C:C)</f>
        <v>Produto com 10, remover 4</v>
      </c>
      <c r="D4" s="6" t="str">
        <f>_xlfn.XLOOKUP($A4,'Plano de Testes (Minuta)'!$A:$A,'Plano de Testes (Minuta)'!D:D)</f>
        <v>Quantidade final 6, confirmação emitida</v>
      </c>
      <c r="E4" s="6" t="s">
        <v>376</v>
      </c>
      <c r="F4" s="7">
        <v>46140</v>
      </c>
    </row>
    <row r="5" spans="1:9" ht="39.75" customHeight="1" x14ac:dyDescent="0.25">
      <c r="A5" s="6" t="s">
        <v>335</v>
      </c>
      <c r="B5" s="6" t="str">
        <f>_xlfn.XLOOKUP($A5,'Plano de Testes (Minuta)'!$A:$A,'Plano de Testes (Minuta)'!B:B)</f>
        <v>Remover quantidade com stock insuficiente</v>
      </c>
      <c r="C5" s="6" t="str">
        <f>_xlfn.XLOOKUP($A5,'Plano de Testes (Minuta)'!$A:$A,'Plano de Testes (Minuta)'!C:C)</f>
        <v>Produto com 2, remover 5</v>
      </c>
      <c r="D5" s="6" t="str">
        <f>_xlfn.XLOOKUP($A5,'Plano de Testes (Minuta)'!$A:$A,'Plano de Testes (Minuta)'!D:D)</f>
        <v>Não altera stock, erro emitido</v>
      </c>
      <c r="E5" s="6" t="s">
        <v>376</v>
      </c>
      <c r="F5" s="7">
        <v>46140</v>
      </c>
    </row>
    <row r="6" spans="1:9" ht="39.75" customHeight="1" x14ac:dyDescent="0.25">
      <c r="A6" s="6" t="s">
        <v>337</v>
      </c>
      <c r="B6" s="6" t="str">
        <f>_xlfn.XLOOKUP($A6,'Plano de Testes (Minuta)'!$A:$A,'Plano de Testes (Minuta)'!B:B)</f>
        <v>Gerar lista de reposição</v>
      </c>
      <c r="C6" s="6" t="str">
        <f>_xlfn.XLOOKUP($A6,'Plano de Testes (Minuta)'!$A:$A,'Plano de Testes (Minuta)'!C:C)</f>
        <v>Produtos acima e abaixo do mínimo</v>
      </c>
      <c r="D6" s="6" t="str">
        <f>_xlfn.XLOOKUP($A6,'Plano de Testes (Minuta)'!$A:$A,'Plano de Testes (Minuta)'!D:D)</f>
        <v>Só devolve os produtos abaixo do mínimo</v>
      </c>
      <c r="E6" s="6" t="s">
        <v>376</v>
      </c>
      <c r="F6" s="7">
        <v>46140</v>
      </c>
    </row>
    <row r="7" spans="1:9" ht="39.75" customHeight="1" x14ac:dyDescent="0.25">
      <c r="A7" s="6" t="s">
        <v>339</v>
      </c>
      <c r="B7" s="6" t="str">
        <f>_xlfn.XLOOKUP($A7,'Plano de Testes (Minuta)'!$A:$A,'Plano de Testes (Minuta)'!B:B)</f>
        <v>Carregar dados JSON</v>
      </c>
      <c r="C7" s="6" t="str">
        <f>_xlfn.XLOOKUP($A7,'Plano de Testes (Minuta)'!$A:$A,'Plano de Testes (Minuta)'!C:C)</f>
        <v>Ficheiro válido</v>
      </c>
      <c r="D7" s="6" t="str">
        <f>_xlfn.XLOOKUP($A7,'Plano de Testes (Minuta)'!$A:$A,'Plano de Testes (Minuta)'!D:D)</f>
        <v>Lista interna carregada correctamente</v>
      </c>
      <c r="E7" s="6" t="s">
        <v>376</v>
      </c>
      <c r="F7" s="7">
        <v>46140</v>
      </c>
    </row>
    <row r="8" spans="1:9" ht="39.75" customHeight="1" x14ac:dyDescent="0.25">
      <c r="A8" s="6" t="s">
        <v>341</v>
      </c>
      <c r="B8" s="6" t="str">
        <f>_xlfn.XLOOKUP($A8,'Plano de Testes (Minuta)'!$A:$A,'Plano de Testes (Minuta)'!B:B)</f>
        <v>Opção inválida numérica</v>
      </c>
      <c r="C8" s="6">
        <f>_xlfn.XLOOKUP($A8,'Plano de Testes (Minuta)'!$A:$A,'Plano de Testes (Minuta)'!C:C)</f>
        <v>7</v>
      </c>
      <c r="D8" s="6" t="str">
        <f>_xlfn.XLOOKUP($A8,'Plano de Testes (Minuta)'!$A:$A,'Plano de Testes (Minuta)'!D:D)</f>
        <v>O Controller manda a View apresentar erro</v>
      </c>
      <c r="E8" s="6" t="s">
        <v>376</v>
      </c>
      <c r="F8" s="7">
        <v>46140</v>
      </c>
    </row>
    <row r="9" spans="1:9" ht="39.75" customHeight="1" x14ac:dyDescent="0.25">
      <c r="A9" s="6" t="s">
        <v>343</v>
      </c>
      <c r="B9" s="6" t="str">
        <f>_xlfn.XLOOKUP($A9,'Plano de Testes (Minuta)'!$A:$A,'Plano de Testes (Minuta)'!B:B)</f>
        <v>Registo com dados inválidos</v>
      </c>
      <c r="C9" s="6" t="str">
        <f>_xlfn.XLOOKUP($A9,'Plano de Testes (Minuta)'!$A:$A,'Plano de Testes (Minuta)'!C:C)</f>
        <v>Nome vazio ou quantidade &lt;= 0</v>
      </c>
      <c r="D9" s="6" t="str">
        <f>_xlfn.XLOOKUP($A9,'Plano de Testes (Minuta)'!$A:$A,'Plano de Testes (Minuta)'!D:D)</f>
        <v>O Controller rejeita e manda a View apresentar erro</v>
      </c>
      <c r="E9" s="6" t="s">
        <v>376</v>
      </c>
      <c r="F9" s="7">
        <v>46140</v>
      </c>
    </row>
    <row r="10" spans="1:9" ht="39.75" customHeight="1" x14ac:dyDescent="0.25">
      <c r="A10" s="6" t="s">
        <v>345</v>
      </c>
      <c r="B10" s="6" t="str">
        <f>_xlfn.XLOOKUP($A10,'Plano de Testes (Minuta)'!$A:$A,'Plano de Testes (Minuta)'!B:B)</f>
        <v>Remoção com dados inválidos</v>
      </c>
      <c r="C10" s="6" t="str">
        <f>_xlfn.XLOOKUP($A10,'Plano de Testes (Minuta)'!$A:$A,'Plano de Testes (Minuta)'!C:C)</f>
        <v>Nome vazio ou quantidade &lt;= 0</v>
      </c>
      <c r="D10" s="6" t="str">
        <f>_xlfn.XLOOKUP($A10,'Plano de Testes (Minuta)'!$A:$A,'Plano de Testes (Minuta)'!D:D)</f>
        <v>O Controller rejeita e manda a View apresentar erro</v>
      </c>
      <c r="E10" s="6" t="s">
        <v>376</v>
      </c>
      <c r="F10" s="7">
        <v>46140</v>
      </c>
    </row>
    <row r="11" spans="1:9" ht="39.75" customHeight="1" x14ac:dyDescent="0.25">
      <c r="A11" s="6" t="s">
        <v>348</v>
      </c>
      <c r="B11" s="6" t="str">
        <f>_xlfn.XLOOKUP($A11,'Plano de Testes (Minuta)'!$A:$A,'Plano de Testes (Minuta)'!B:B)</f>
        <v>Encerramento controlado</v>
      </c>
      <c r="C11" s="6">
        <f>_xlfn.XLOOKUP($A11,'Plano de Testes (Minuta)'!$A:$A,'Plano de Testes (Minuta)'!C:C)</f>
        <v>9</v>
      </c>
      <c r="D11" s="6" t="str">
        <f>_xlfn.XLOOKUP($A11,'Plano de Testes (Minuta)'!$A:$A,'Plano de Testes (Minuta)'!D:D)</f>
        <v>O Controller acciona o fecho controlado</v>
      </c>
      <c r="E11" s="6" t="s">
        <v>376</v>
      </c>
      <c r="F11" s="7">
        <v>46140</v>
      </c>
    </row>
    <row r="12" spans="1:9" ht="39.75" customHeight="1" x14ac:dyDescent="0.25">
      <c r="A12" s="6" t="s">
        <v>350</v>
      </c>
      <c r="B12" s="6" t="str">
        <f>_xlfn.XLOOKUP($A12,'Plano de Testes (Minuta)'!$A:$A,'Plano de Testes (Minuta)'!B:B)</f>
        <v>Encaminhamento de registo válido</v>
      </c>
      <c r="C12" s="6" t="str">
        <f>_xlfn.XLOOKUP($A12,'Plano de Testes (Minuta)'!$A:$A,'Plano de Testes (Minuta)'!C:C)</f>
        <v>Dados válidos de produto</v>
      </c>
      <c r="D12" s="6" t="str">
        <f>_xlfn.XLOOKUP($A12,'Plano de Testes (Minuta)'!$A:$A,'Plano de Testes (Minuta)'!D:D)</f>
        <v>O Controller encaminha correctamente para o Model</v>
      </c>
      <c r="E12" s="6" t="s">
        <v>376</v>
      </c>
      <c r="F12" s="7">
        <v>46140</v>
      </c>
    </row>
    <row r="13" spans="1:9" ht="39.75" customHeight="1" x14ac:dyDescent="0.25">
      <c r="A13" s="6" t="s">
        <v>354</v>
      </c>
      <c r="B13" s="6" t="str">
        <f>_xlfn.XLOOKUP($A13,'Plano de Testes (Minuta)'!$A:$A,'Plano de Testes (Minuta)'!B:B)</f>
        <v>Fluxo completo de registo e consulta</v>
      </c>
      <c r="C13" s="6" t="str">
        <f>_xlfn.XLOOKUP($A13,'Plano de Testes (Minuta)'!$A:$A,'Plano de Testes (Minuta)'!C:C)</f>
        <v>Registar Arroz, 10, 3, kg; depois consultar</v>
      </c>
      <c r="D13" s="6" t="str">
        <f>_xlfn.XLOOKUP($A13,'Plano de Testes (Minuta)'!$A:$A,'Plano de Testes (Minuta)'!D:D)</f>
        <v>O produto aparece correctamente no stock</v>
      </c>
      <c r="E13" s="6" t="s">
        <v>376</v>
      </c>
      <c r="F13" s="7">
        <v>46140</v>
      </c>
    </row>
    <row r="14" spans="1:9" ht="39.75" customHeight="1" x14ac:dyDescent="0.25">
      <c r="A14" s="6" t="s">
        <v>357</v>
      </c>
      <c r="B14" s="6" t="str">
        <f>_xlfn.XLOOKUP($A14,'Plano de Testes (Minuta)'!$A:$A,'Plano de Testes (Minuta)'!B:B)</f>
        <v>Fluxo completo de remoção válida</v>
      </c>
      <c r="C14" s="6" t="str">
        <f>_xlfn.XLOOKUP($A14,'Plano de Testes (Minuta)'!$A:$A,'Plano de Testes (Minuta)'!C:C)</f>
        <v>Produto com stock suficiente</v>
      </c>
      <c r="D14" s="6" t="str">
        <f>_xlfn.XLOOKUP($A14,'Plano de Testes (Minuta)'!$A:$A,'Plano de Testes (Minuta)'!D:D)</f>
        <v>Stock actualizado e confirmação apresentada</v>
      </c>
      <c r="E14" s="6" t="s">
        <v>376</v>
      </c>
      <c r="F14" s="7">
        <v>46140</v>
      </c>
    </row>
    <row r="15" spans="1:9" ht="39.75" customHeight="1" x14ac:dyDescent="0.25">
      <c r="A15" s="6" t="s">
        <v>359</v>
      </c>
      <c r="B15" s="6" t="str">
        <f>_xlfn.XLOOKUP($A15,'Plano de Testes (Minuta)'!$A:$A,'Plano de Testes (Minuta)'!B:B)</f>
        <v>Fluxo completo de remoção com erro</v>
      </c>
      <c r="C15" s="6" t="str">
        <f>_xlfn.XLOOKUP($A15,'Plano de Testes (Minuta)'!$A:$A,'Plano de Testes (Minuta)'!C:C)</f>
        <v>Produto com stock insuficiente</v>
      </c>
      <c r="D15" s="6" t="str">
        <f>_xlfn.XLOOKUP($A15,'Plano de Testes (Minuta)'!$A:$A,'Plano de Testes (Minuta)'!D:D)</f>
        <v>Erro apresentado sem crash</v>
      </c>
      <c r="E15" s="6" t="s">
        <v>376</v>
      </c>
      <c r="F15" s="7">
        <v>46140</v>
      </c>
    </row>
    <row r="16" spans="1:9" ht="39.75" customHeight="1" x14ac:dyDescent="0.25">
      <c r="A16" s="6" t="s">
        <v>362</v>
      </c>
      <c r="B16" s="6" t="str">
        <f>_xlfn.XLOOKUP($A16,'Plano de Testes (Minuta)'!$A:$A,'Plano de Testes (Minuta)'!B:B)</f>
        <v>Fluxo de lista de reposição</v>
      </c>
      <c r="C16" s="6" t="str">
        <f>_xlfn.XLOOKUP($A16,'Plano de Testes (Minuta)'!$A:$A,'Plano de Testes (Minuta)'!C:C)</f>
        <v>Produtos abaixo do mínimo</v>
      </c>
      <c r="D16" s="6" t="str">
        <f>_xlfn.XLOOKUP($A16,'Plano de Testes (Minuta)'!$A:$A,'Plano de Testes (Minuta)'!D:D)</f>
        <v>Lista apresentada correctamente</v>
      </c>
      <c r="E16" s="6" t="s">
        <v>376</v>
      </c>
      <c r="F16" s="7">
        <v>46140</v>
      </c>
    </row>
    <row r="17" spans="1:6" ht="39.75" customHeight="1" x14ac:dyDescent="0.25">
      <c r="A17" s="6" t="s">
        <v>364</v>
      </c>
      <c r="B17" s="6" t="str">
        <f>_xlfn.XLOOKUP($A17,'Plano de Testes (Minuta)'!$A:$A,'Plano de Testes (Minuta)'!B:B)</f>
        <v>Saída controlada</v>
      </c>
      <c r="C17" s="6">
        <f>_xlfn.XLOOKUP($A17,'Plano de Testes (Minuta)'!$A:$A,'Plano de Testes (Minuta)'!C:C)</f>
        <v>9</v>
      </c>
      <c r="D17" s="6" t="str">
        <f>_xlfn.XLOOKUP($A17,'Plano de Testes (Minuta)'!$A:$A,'Plano de Testes (Minuta)'!D:D)</f>
        <v>Aplicação encerra de forma controlada</v>
      </c>
      <c r="E17" s="6" t="s">
        <v>376</v>
      </c>
      <c r="F17" s="7">
        <v>46140</v>
      </c>
    </row>
    <row r="18" spans="1:6" ht="39.75" customHeight="1" x14ac:dyDescent="0.25">
      <c r="A18" s="6" t="s">
        <v>366</v>
      </c>
      <c r="B18" s="6" t="str">
        <f>_xlfn.XLOOKUP($A18,'Plano de Testes (Minuta)'!$A:$A,'Plano de Testes (Minuta)'!B:B)</f>
        <v>Opção inválida no menu</v>
      </c>
      <c r="C18" s="6">
        <f>_xlfn.XLOOKUP($A18,'Plano de Testes (Minuta)'!$A:$A,'Plano de Testes (Minuta)'!C:C)</f>
        <v>7</v>
      </c>
      <c r="D18" s="6" t="str">
        <f>_xlfn.XLOOKUP($A18,'Plano de Testes (Minuta)'!$A:$A,'Plano de Testes (Minuta)'!D:D)</f>
        <v>Mensagem de erro e continuidade normal do menu</v>
      </c>
      <c r="E18" s="6" t="s">
        <v>376</v>
      </c>
      <c r="F18" s="7">
        <v>46140</v>
      </c>
    </row>
    <row r="19" spans="1:6" ht="39.75" customHeight="1" x14ac:dyDescent="0.25">
      <c r="A19" s="6" t="s">
        <v>367</v>
      </c>
      <c r="B19" s="6" t="str">
        <f>_xlfn.XLOOKUP($A19,'Plano de Testes (Minuta)'!$A:$A,'Plano de Testes (Minuta)'!B:B)</f>
        <v>Texto inválido no menu</v>
      </c>
      <c r="C19" s="6" t="str">
        <f>_xlfn.XLOOKUP($A19,'Plano de Testes (Minuta)'!$A:$A,'Plano de Testes (Minuta)'!C:C)</f>
        <v>abc</v>
      </c>
      <c r="D19" s="6" t="str">
        <f>_xlfn.XLOOKUP($A19,'Plano de Testes (Minuta)'!$A:$A,'Plano de Testes (Minuta)'!D:D)</f>
        <v>Mensagem de erro e continuidade normal do menu</v>
      </c>
      <c r="E19" s="6" t="s">
        <v>376</v>
      </c>
      <c r="F19" s="7">
        <v>46140</v>
      </c>
    </row>
    <row r="20" spans="1:6" ht="39.75" customHeight="1" x14ac:dyDescent="0.25">
      <c r="A20" s="6" t="s">
        <v>369</v>
      </c>
      <c r="B20" s="6" t="str">
        <f>_xlfn.XLOOKUP($A20,'Plano de Testes (Minuta)'!$A:$A,'Plano de Testes (Minuta)'!B:B)</f>
        <v>Registo com dados inválidos</v>
      </c>
      <c r="C20" s="6" t="str">
        <f>_xlfn.XLOOKUP($A20,'Plano de Testes (Minuta)'!$A:$A,'Plano de Testes (Minuta)'!C:C)</f>
        <v>Quantidade negativa ou zero</v>
      </c>
      <c r="D20" s="6" t="str">
        <f>_xlfn.XLOOKUP($A20,'Plano de Testes (Minuta)'!$A:$A,'Plano de Testes (Minuta)'!D:D)</f>
        <v>Erro apresentado sem duplicação do menu</v>
      </c>
      <c r="E20" s="6" t="s">
        <v>376</v>
      </c>
      <c r="F20" s="7">
        <v>46140</v>
      </c>
    </row>
    <row r="21" spans="1:6" ht="39.75" customHeight="1" x14ac:dyDescent="0.25">
      <c r="A21" s="6" t="s">
        <v>371</v>
      </c>
      <c r="B21" s="6" t="str">
        <f>_xlfn.XLOOKUP($A21,'Plano de Testes (Minuta)'!$A:$A,'Plano de Testes (Minuta)'!B:B)</f>
        <v>Remoção com dados inválidos</v>
      </c>
      <c r="C21" s="6" t="str">
        <f>_xlfn.XLOOKUP($A21,'Plano de Testes (Minuta)'!$A:$A,'Plano de Testes (Minuta)'!C:C)</f>
        <v>Quantidade negativa ou zero</v>
      </c>
      <c r="D21" s="6" t="str">
        <f>_xlfn.XLOOKUP($A21,'Plano de Testes (Minuta)'!$A:$A,'Plano de Testes (Minuta)'!D:D)</f>
        <v>Erro apresentado sem crash</v>
      </c>
      <c r="E21" s="6" t="s">
        <v>376</v>
      </c>
      <c r="F21" s="7">
        <v>46140</v>
      </c>
    </row>
    <row r="22" spans="1:6" ht="39.75" customHeight="1" x14ac:dyDescent="0.25">
      <c r="A22" s="6" t="s">
        <v>372</v>
      </c>
      <c r="B22" s="6" t="str">
        <f>_xlfn.XLOOKUP($A22,'Plano de Testes (Minuta)'!$A:$A,'Plano de Testes (Minuta)'!B:B)</f>
        <v>Repetição da lista de reposição</v>
      </c>
      <c r="C22" s="6" t="str">
        <f>_xlfn.XLOOKUP($A22,'Plano de Testes (Minuta)'!$A:$A,'Plano de Testes (Minuta)'!C:C)</f>
        <v>Escolher várias vezes a opção 4</v>
      </c>
      <c r="D22" s="6" t="str">
        <f>_xlfn.XLOOKUP($A22,'Plano de Testes (Minuta)'!$A:$A,'Plano de Testes (Minuta)'!D:D)</f>
        <v>Comportamento estável, sem duplicação anómala</v>
      </c>
      <c r="E22" s="6" t="s">
        <v>376</v>
      </c>
      <c r="F22" s="7">
        <v>46140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Resumo</vt:lpstr>
      <vt:lpstr>Check_T1T2</vt:lpstr>
      <vt:lpstr>CheckT3_20260419</vt:lpstr>
      <vt:lpstr>CheckT3_20260426</vt:lpstr>
      <vt:lpstr>CheckT4_20260428</vt:lpstr>
      <vt:lpstr>Tests T4</vt:lpstr>
      <vt:lpstr>Plano de Testes (Minuta)</vt:lpstr>
      <vt:lpstr>Plano de Testes (Controlo)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Laurentino Reis</dc:creator>
  <cp:lastModifiedBy>Laurentino Reis</cp:lastModifiedBy>
  <dcterms:created xsi:type="dcterms:W3CDTF">2026-04-05T09:50:54Z</dcterms:created>
  <dcterms:modified xsi:type="dcterms:W3CDTF">2026-04-29T09:34:46Z</dcterms:modified>
</cp:coreProperties>
</file>